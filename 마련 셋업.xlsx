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989668E9-9272-422C-AFED-B324C8CCCA5D}" xr6:coauthVersionLast="36" xr6:coauthVersionMax="36" xr10:uidLastSave="{00000000-0000-0000-0000-000000000000}"/>
  <bookViews>
    <workbookView xWindow="0" yWindow="0" windowWidth="8910" windowHeight="10845" activeTab="1" xr2:uid="{00000000-000D-0000-FFFF-FFFF00000000}"/>
  </bookViews>
  <sheets>
    <sheet name="IP Setting" sheetId="2" r:id="rId1"/>
    <sheet name="작업" sheetId="8" r:id="rId2"/>
    <sheet name="Sheet1" sheetId="9" r:id="rId3"/>
  </sheets>
  <definedNames>
    <definedName name="Both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" i="9" l="1"/>
  <c r="F10" i="9"/>
  <c r="G8" i="9"/>
  <c r="G7" i="9"/>
  <c r="G6" i="9"/>
  <c r="G3" i="9"/>
  <c r="G2" i="9"/>
  <c r="C7" i="9"/>
  <c r="C6" i="9"/>
  <c r="C3" i="9"/>
  <c r="C2" i="9"/>
</calcChain>
</file>

<file path=xl/sharedStrings.xml><?xml version="1.0" encoding="utf-8"?>
<sst xmlns="http://schemas.openxmlformats.org/spreadsheetml/2006/main" count="502" uniqueCount="315">
  <si>
    <t>순번</t>
    <phoneticPr fontId="1" type="noConversion"/>
  </si>
  <si>
    <t>내용</t>
    <phoneticPr fontId="1" type="noConversion"/>
  </si>
  <si>
    <t>비고</t>
    <phoneticPr fontId="1" type="noConversion"/>
  </si>
  <si>
    <t>IP</t>
    <phoneticPr fontId="1" type="noConversion"/>
  </si>
  <si>
    <t>PRECHARGER PC</t>
    <phoneticPr fontId="1" type="noConversion"/>
  </si>
  <si>
    <t>D:\PreCharger\Data</t>
    <phoneticPr fontId="1" type="noConversion"/>
  </si>
  <si>
    <t>IR/OCV PC</t>
    <phoneticPr fontId="1" type="noConversion"/>
  </si>
  <si>
    <t>D:\IROCV\Bin</t>
    <phoneticPr fontId="1" type="noConversion"/>
  </si>
  <si>
    <t>D:\IROCV\Data</t>
    <phoneticPr fontId="1" type="noConversion"/>
  </si>
  <si>
    <t>Date</t>
    <phoneticPr fontId="1" type="noConversion"/>
  </si>
  <si>
    <t>PLC</t>
    <phoneticPr fontId="1" type="noConversion"/>
  </si>
  <si>
    <t>PORT 1</t>
    <phoneticPr fontId="1" type="noConversion"/>
  </si>
  <si>
    <t>PORT 2</t>
    <phoneticPr fontId="1" type="noConversion"/>
  </si>
  <si>
    <t>D:\PreCharge\Bin</t>
    <phoneticPr fontId="1" type="noConversion"/>
  </si>
  <si>
    <t>EQUIPMENT IP ADDRESS</t>
    <phoneticPr fontId="1" type="noConversion"/>
  </si>
  <si>
    <t>Program</t>
    <phoneticPr fontId="1" type="noConversion"/>
  </si>
  <si>
    <t>DATA</t>
    <phoneticPr fontId="1" type="noConversion"/>
  </si>
  <si>
    <t>EQUIPMENT</t>
    <phoneticPr fontId="1" type="noConversion"/>
  </si>
  <si>
    <t>PRECHARGER PC</t>
    <phoneticPr fontId="1" type="noConversion"/>
  </si>
  <si>
    <t>IR/OCV PC</t>
    <phoneticPr fontId="1" type="noConversion"/>
  </si>
  <si>
    <t>PLC IP ADDRESS</t>
    <phoneticPr fontId="1" type="noConversion"/>
  </si>
  <si>
    <t>IR/OCV</t>
    <phoneticPr fontId="1" type="noConversion"/>
  </si>
  <si>
    <t>Address map 정리</t>
    <phoneticPr fontId="1" type="noConversion"/>
  </si>
  <si>
    <t>언어변경 중국어 -&gt; 영어</t>
    <phoneticPr fontId="1" type="noConversion"/>
  </si>
  <si>
    <t>- 채널 400개</t>
    <phoneticPr fontId="1" type="noConversion"/>
  </si>
  <si>
    <t>PLC_D_IROCV_TRAY_CELL_DATA 코드 수정 (1word에 16개씩 데이터 있음)</t>
    <phoneticPr fontId="1" type="noConversion"/>
  </si>
  <si>
    <t>IROCV UI 변경</t>
    <phoneticPr fontId="1" type="noConversion"/>
  </si>
  <si>
    <t>PRECHARGER UI 변경</t>
    <phoneticPr fontId="1" type="noConversion"/>
  </si>
  <si>
    <t>IROCV 베스텍 S4라인 참고하여 수정필요</t>
    <phoneticPr fontId="1" type="noConversion"/>
  </si>
  <si>
    <t>IROCV PLC 주소변경및 Cell Data 처리 수정</t>
    <phoneticPr fontId="1" type="noConversion"/>
  </si>
  <si>
    <t>PRECHARGER PLC 주소변경및 Cell Data 처리 수정</t>
    <phoneticPr fontId="1" type="noConversion"/>
  </si>
  <si>
    <t>400 채널이든 256 채널이든 설비하나당 controller 개수도 1개?</t>
    <phoneticPr fontId="1" type="noConversion"/>
  </si>
  <si>
    <t>PRECHARGER에서 상태정보 확인하여 Ok/Fail 처리</t>
    <phoneticPr fontId="1" type="noConversion"/>
  </si>
  <si>
    <t>c++ builder 코드 참고하여 추가해야 함</t>
  </si>
  <si>
    <t>FormTotal 색상표시 추가필요</t>
    <phoneticPr fontId="1" type="noConversion"/>
  </si>
  <si>
    <t>일단 1개로 함. 여러개일때는 다시 개발필요</t>
    <phoneticPr fontId="1" type="noConversion"/>
  </si>
  <si>
    <t>SEN에서 설정값이 NONE 이면 RunDefinition 실행. ENA명령도 같이 실행해야 함.</t>
    <phoneticPr fontId="1" type="noConversion"/>
  </si>
  <si>
    <t>PreCharger에서 명령어 실행시 항상 Reply 확인.</t>
    <phoneticPr fontId="1" type="noConversion"/>
  </si>
  <si>
    <t>@ABS; 등은 아님.</t>
    <phoneticPr fontId="1" type="noConversion"/>
  </si>
  <si>
    <t>RST명령시 BT도 같이 RESET 하는지… PICO/BT 분리필요</t>
    <phoneticPr fontId="1" type="noConversion"/>
  </si>
  <si>
    <t>DataGridView 에러 처리 try catch</t>
    <phoneticPr fontId="1" type="noConversion"/>
  </si>
  <si>
    <t>SaveMon 정상. measureinfoform 표시가 안됨.</t>
    <phoneticPr fontId="1" type="noConversion"/>
  </si>
  <si>
    <t>datagridview 로 처리 OK</t>
    <phoneticPr fontId="1" type="noConversion"/>
  </si>
  <si>
    <t>controller는 reboot기능 추가</t>
    <phoneticPr fontId="1" type="noConversion"/>
  </si>
  <si>
    <t>sen/mon 제외하고 명령어 응답 받을 수 있도록 수정</t>
    <phoneticPr fontId="1" type="noConversion"/>
  </si>
  <si>
    <t>formtotal에 sen 상태 표시. 충전시간. 충전시작부터 진행시간 표시(second)</t>
    <phoneticPr fontId="1" type="noConversion"/>
  </si>
  <si>
    <t>충전 종료시 마지막 전압/전류값 표시 및 결과 저장</t>
    <phoneticPr fontId="1" type="noConversion"/>
  </si>
  <si>
    <t>설비 하나는 충전중 (상태 : 2), 하나는 종료 (상태 : -2) 이것때문에 다르게 표시됨</t>
    <phoneticPr fontId="1" type="noConversion"/>
  </si>
  <si>
    <t>Mon 결과 파일 읽어서 마지막 데이터 저장 또는 final 값 변수에 저장했다가 idle상태일때 저장</t>
    <phoneticPr fontId="1" type="noConversion"/>
  </si>
  <si>
    <t xml:space="preserve">ReadRecipe, writeRecipe </t>
    <phoneticPr fontId="1" type="noConversion"/>
  </si>
  <si>
    <t>충전 종료시 설비 하나는 종료. 나머지 하나는 종료표시 안됨.
=&gt; controller에서 수정</t>
    <phoneticPr fontId="1" type="noConversion"/>
  </si>
  <si>
    <t>trayinfo에 charging time (처음 시작부터 몇초 충전중인지 실제 시간으로 계산하여 초를 표시) =&gt; _iChargingCount</t>
    <phoneticPr fontId="1" type="noConversion"/>
  </si>
  <si>
    <t>- SEN에서 WDT/REC 가 발생하면 RST 명령어 실행
- RUN 상태인데 셋팅값이 깨지거나 없고 MON이 안날라올때 Reboot 실행.</t>
    <phoneticPr fontId="1" type="noConversion"/>
  </si>
  <si>
    <t>Reboot 실행할 때는 controller socket close 시켜야 함.</t>
    <phoneticPr fontId="1" type="noConversion"/>
  </si>
  <si>
    <t>controller 응답도 tbmsg 에 표시 =&gt; SEN/MON은 어떻게?</t>
    <phoneticPr fontId="1" type="noConversion"/>
  </si>
  <si>
    <t>mondata DATETIME, trayinfo STARTTIME 을 이용하여 계산</t>
    <phoneticPr fontId="1" type="noConversion"/>
  </si>
  <si>
    <t>명령어실행시 SEN/MON 제외하고 넘겨주도록</t>
    <phoneticPr fontId="1" type="noConversion"/>
  </si>
  <si>
    <t>Bt2200 연결 비동기로 수정</t>
    <phoneticPr fontId="1" type="noConversion"/>
  </si>
  <si>
    <t>max value 확인 추가</t>
    <phoneticPr fontId="1" type="noConversion"/>
  </si>
  <si>
    <t>cell data, ng info 등 20bit 사용하는 정보 처리 수정필요</t>
    <phoneticPr fontId="1" type="noConversion"/>
  </si>
  <si>
    <t>언어선택가능 하도록 수정</t>
    <phoneticPr fontId="1" type="noConversion"/>
  </si>
  <si>
    <t>충전 시작 명령을 실행했는데 에러가 나오면 다시 셋팅하고 ena 하도록 수정</t>
    <phoneticPr fontId="1" type="noConversion"/>
  </si>
  <si>
    <t>Controller, PLC 자동연결 and 연결실패시 에러 표시</t>
    <phoneticPr fontId="1" type="noConversion"/>
  </si>
  <si>
    <t>voltage, current 읽기 쓰기를 getDouble, setDouble로 함. 2word.
2word 처리 수정필요</t>
    <phoneticPr fontId="1" type="noConversion"/>
  </si>
  <si>
    <t>프로그램 종료 정상적으로 안될때 있음. 코드 수정필요</t>
    <phoneticPr fontId="1" type="noConversion"/>
  </si>
  <si>
    <t>에러 발생시 lblstatus에 표시</t>
    <phoneticPr fontId="1" type="noConversion"/>
  </si>
  <si>
    <t>2024년</t>
    <phoneticPr fontId="1" type="noConversion"/>
  </si>
  <si>
    <t>2025년</t>
    <phoneticPr fontId="1" type="noConversion"/>
  </si>
  <si>
    <t>recipe 확인후 같으면 startcharging
다르면 rundefinition 실행</t>
    <phoneticPr fontId="1" type="noConversion"/>
  </si>
  <si>
    <t>StartCharging 을 sen 데이터 확인시 recipe가 다를때 사용</t>
    <phoneticPr fontId="1" type="noConversion"/>
  </si>
  <si>
    <t>1. PreCharger Setting이 안되어 있으면 ENA -&gt; Setting</t>
  </si>
  <si>
    <t>2. recipe와 PreCharger Setting (SEN 정보) 비교. 다르면 다시 셋팅.</t>
    <phoneticPr fontId="1" type="noConversion"/>
  </si>
  <si>
    <t>Auto 모드에서 충전 종료시 다음 단계로 넘어가도록 추가</t>
    <phoneticPr fontId="1" type="noConversion"/>
  </si>
  <si>
    <t>FormBorderStyle 속성 변경으로 form 크기 변경안되도록 수정</t>
    <phoneticPr fontId="1" type="noConversion"/>
  </si>
  <si>
    <t>Keysight library 사용프로그램 배포 정리</t>
    <phoneticPr fontId="1" type="noConversion"/>
  </si>
  <si>
    <t>Keysight 프로그램 배포 (mx component포함).txt</t>
  </si>
  <si>
    <t>Keysight, PLC 연결, 재연결, 미연결등 로그표시</t>
    <phoneticPr fontId="1" type="noConversion"/>
  </si>
  <si>
    <t>프로그램 실행시 read config</t>
    <phoneticPr fontId="1" type="noConversion"/>
  </si>
  <si>
    <t>프로그램 실행시 recipe 읽어오기</t>
    <phoneticPr fontId="1" type="noConversion"/>
  </si>
  <si>
    <t>SEN에서 하면 문제가 좀 있음. CmdAutoStart에서 해야 함</t>
    <phoneticPr fontId="1" type="noConversion"/>
  </si>
  <si>
    <t>sen/mon은 데이터 양이 많아 로그에만 기록</t>
    <phoneticPr fontId="1" type="noConversion"/>
  </si>
  <si>
    <t xml:space="preserve"> </t>
    <phoneticPr fontId="1" type="noConversion"/>
  </si>
  <si>
    <t>MainForm에 색상표시</t>
    <phoneticPr fontId="1" type="noConversion"/>
  </si>
  <si>
    <t>StartReading, StartWriting 구현. TATA ACS 참고하여 작성</t>
    <phoneticPr fontId="1" type="noConversion"/>
  </si>
  <si>
    <t>충전종료후 report 명령어 실행. 
1. 결과파일에 저장
2. displayinfo에 색상 표시</t>
    <phoneticPr fontId="1" type="noConversion"/>
  </si>
  <si>
    <t>controller에서 데이터 받을 때 @로 시작, ; 로 끝남 확인하여 저장</t>
    <phoneticPr fontId="1" type="noConversion"/>
  </si>
  <si>
    <t>충전종료시 바로 데이터 저장하지 않고 종료 확인을 하고 다른 코드에서 최종 데이터 저장해야 함.</t>
    <phoneticPr fontId="1" type="noConversion"/>
  </si>
  <si>
    <t>종료 조건 : sendata.SENSTATUS == enumSenStatus.IDL &amp;&amp; sendata.OLDSENSTATUS == enumSenStatus.RUN
최종데이터 저장은 타이머로? Endcharging == true ? Save final data &amp; display : save mon and sen data</t>
    <phoneticPr fontId="1" type="noConversion"/>
  </si>
  <si>
    <t>reset, reboot 등 명령은 시간제한 (20초, 10초 등)을 두고 no error 응답이 없으면 에러 발생</t>
    <phoneticPr fontId="1" type="noConversion"/>
  </si>
  <si>
    <t>check report 를 timer로 수정하여 처리</t>
    <phoneticPr fontId="1" type="noConversion"/>
  </si>
  <si>
    <t>measure info 에서 init, save 버튼 아직.</t>
    <phoneticPr fontId="1" type="noConversion"/>
  </si>
  <si>
    <t>init에서 form total status 추가필요</t>
    <phoneticPr fontId="1" type="noConversion"/>
  </si>
  <si>
    <t>channel, pos 값 표시에러. 초기값은 ok, 값이 할당이 되면 값이 표시됨. 수정필요</t>
    <phoneticPr fontId="1" type="noConversion"/>
  </si>
  <si>
    <t>=&gt; PLC Start reading, writing 은 연결시에 thread로 실행되도록 수정. TATA ACS와는 좀 다른상황.</t>
    <phoneticPr fontId="1" type="noConversion"/>
  </si>
  <si>
    <t>reboot, reset 타이머를 이용하여 실행 및 결과 처리. 일정시간 응답이 없으면 명령어 다시 실행.</t>
    <phoneticPr fontId="1" type="noConversion"/>
  </si>
  <si>
    <t>Line 1</t>
    <phoneticPr fontId="1" type="noConversion"/>
  </si>
  <si>
    <t>Line 2</t>
    <phoneticPr fontId="1" type="noConversion"/>
  </si>
  <si>
    <t>PRECHARGER Controller</t>
    <phoneticPr fontId="1" type="noConversion"/>
  </si>
  <si>
    <t>PRECHARGER - BT2200 1</t>
    <phoneticPr fontId="1" type="noConversion"/>
  </si>
  <si>
    <t>PRECHARGER - BT2200 2</t>
    <phoneticPr fontId="1" type="noConversion"/>
  </si>
  <si>
    <t>192.168.10.100</t>
  </si>
  <si>
    <t>192.168.10.231</t>
  </si>
  <si>
    <t>192.168.10.241</t>
  </si>
  <si>
    <t>192.168.10.242</t>
  </si>
  <si>
    <t>192.168.10.200</t>
  </si>
  <si>
    <t>192.168.10.201</t>
  </si>
  <si>
    <t>plc test 필요. Write value (임의의 주소), write ok/ng data, write current/voltage</t>
    <phoneticPr fontId="1" type="noConversion"/>
  </si>
  <si>
    <t>프리차져/IROCV 모두 필요</t>
    <phoneticPr fontId="1" type="noConversion"/>
  </si>
  <si>
    <t>plc 연결이 안되었을 때 창 띄우면 다른 테스트도 못하는 문제 있음.</t>
    <phoneticPr fontId="1" type="noConversion"/>
  </si>
  <si>
    <t>plc cell data, ok/ng data 1word * 25ea 로 수정?</t>
    <phoneticPr fontId="1" type="noConversion"/>
  </si>
  <si>
    <t>2word * 20ea 함수 2개 만들어서 대응</t>
    <phoneticPr fontId="1" type="noConversion"/>
  </si>
  <si>
    <t>아래 2025년 22번 참고</t>
    <phoneticPr fontId="1" type="noConversion"/>
  </si>
  <si>
    <t>프리차져 결과에서 ng 30개이상 발생시 창 띄우고 대기 - 베스텍 s4라인 참고</t>
    <phoneticPr fontId="1" type="noConversion"/>
  </si>
  <si>
    <t>mon 데이터 에러 - 다른 pc에 프로그램 실행하고 충전시 에러 발생.
- mon data 저장파일 오류
- mon data 화면에 표시 오류</t>
    <phoneticPr fontId="1" type="noConversion"/>
  </si>
  <si>
    <t>mapping 파일 오류 - 첫줄 에러</t>
    <phoneticPr fontId="1" type="noConversion"/>
  </si>
  <si>
    <t>mapping 파일 오류로 발생한 문제</t>
    <phoneticPr fontId="1" type="noConversion"/>
  </si>
  <si>
    <t>controller 접속이 안될때 local mode 변경시 measure info form에 수동버튼 보이기</t>
    <phoneticPr fontId="1" type="noConversion"/>
  </si>
  <si>
    <t>수동에서 stop 버튼 누를 때 timer도 중지되도록 수정</t>
    <phoneticPr fontId="1" type="noConversion"/>
  </si>
  <si>
    <t>충전 셋팅시간이 지났는데 종료가 되지 않는 경우 강제 종료. 컨트롤러는 reset 시켜야 함.</t>
    <phoneticPr fontId="1" type="noConversion"/>
  </si>
  <si>
    <t>일단 창은 제거하고 status 에 에러만 표시</t>
    <phoneticPr fontId="1" type="noConversion"/>
  </si>
  <si>
    <t>자동에서 결과 저장은?</t>
    <phoneticPr fontId="1" type="noConversion"/>
  </si>
  <si>
    <t>=&gt; 수동일때랑 동일한지 확인필요</t>
    <phoneticPr fontId="1" type="noConversion"/>
  </si>
  <si>
    <t>write value (current, voltage)</t>
    <phoneticPr fontId="1" type="noConversion"/>
  </si>
  <si>
    <t>Write ok/ng data</t>
    <phoneticPr fontId="1" type="noConversion"/>
  </si>
  <si>
    <t>write acc_remeasure (remeasure info 데이터)</t>
    <phoneticPr fontId="1" type="noConversion"/>
  </si>
  <si>
    <t>PC_D_LEN 수정필요</t>
    <phoneticPr fontId="1" type="noConversion"/>
  </si>
  <si>
    <t>WriteIROCVValue() : 256 =&gt; 400 수정필요</t>
    <phoneticPr fontId="1" type="noConversion"/>
  </si>
  <si>
    <t>ReadAllData, WriteAllData 한번에 960이상 읽고 쓰기 안됨. 분리해서 read, write 하도록 수정필요</t>
    <phoneticPr fontId="1" type="noConversion"/>
  </si>
  <si>
    <t>writeCurrent  는 배열이 넘어감. 35번 참고하여 수정필요</t>
    <phoneticPr fontId="1" type="noConversion"/>
  </si>
  <si>
    <t>PLC는 ReadAllData, PC는 WriteAllData (41000, 42000) 2번</t>
    <phoneticPr fontId="1" type="noConversion"/>
  </si>
  <si>
    <t>C#</t>
    <phoneticPr fontId="1" type="noConversion"/>
  </si>
  <si>
    <t>CX</t>
    <phoneticPr fontId="1" type="noConversion"/>
  </si>
  <si>
    <t>충전시간이 지났는데 계속 충전중이면 reset or reboot</t>
    <phoneticPr fontId="1" type="noConversion"/>
  </si>
  <si>
    <t>reset, reboot timeout error 추가</t>
    <phoneticPr fontId="1" type="noConversion"/>
  </si>
  <si>
    <t>충전시작시 setting값 확인 후 안되어 있으면 setting 하고 충전시작</t>
    <phoneticPr fontId="1" type="noConversion"/>
  </si>
  <si>
    <t>208 + 192 =&gt; 200 + 192 + 8 순으로 report 결과 대입해야 함.</t>
    <phoneticPr fontId="1" type="noConversion"/>
  </si>
  <si>
    <t>최종 결과 ok는 색상을 complete(green)으로</t>
    <phoneticPr fontId="1" type="noConversion"/>
  </si>
  <si>
    <t>오류있음. - reset 완료후 idl상태이면 timer 중지</t>
    <phoneticPr fontId="1" type="noConversion"/>
  </si>
  <si>
    <t>전압을 2000mV 이상으로, 전류는 500 시간은30 조건 확인하는 부분 추가 필요</t>
    <phoneticPr fontId="1" type="noConversion"/>
  </si>
  <si>
    <t>현재 셋팅값 보여주기</t>
    <phoneticPr fontId="1" type="noConversion"/>
  </si>
  <si>
    <t>CX</t>
    <phoneticPr fontId="1" type="noConversion"/>
  </si>
  <si>
    <t>SEN 상태 (IDL, RUN, RST, RBT, WDT) 등 표시</t>
    <phoneticPr fontId="1" type="noConversion"/>
  </si>
  <si>
    <t>마지막 REP 몇번 실행 후 결과를 못불러오면 에러처리 또는 BT연결이 안되면 충전실행 안되도록 수정필요</t>
    <phoneticPr fontId="1" type="noConversion"/>
  </si>
  <si>
    <t>CX</t>
    <phoneticPr fontId="1" type="noConversion"/>
  </si>
  <si>
    <t>전류가 안흐르는데 sen run 상태일때 중지시키기</t>
    <phoneticPr fontId="1" type="noConversion"/>
  </si>
  <si>
    <t>stp 반복되는 문제</t>
    <phoneticPr fontId="1" type="noConversion"/>
  </si>
  <si>
    <t>RST, RBT도 stop 명령어로 멈추도록 수정</t>
    <phoneticPr fontId="1" type="noConversion"/>
  </si>
  <si>
    <t>tray in 이후에 시간 초과시 에러창. Ams 이후에 시간 초과시 에러창.</t>
    <phoneticPr fontId="1" type="noConversion"/>
  </si>
  <si>
    <t>CX</t>
    <phoneticPr fontId="1" type="noConversion"/>
  </si>
  <si>
    <t>reset, reboot은 시간이 얼마 걸린다는 메시지 표시</t>
    <phoneticPr fontId="1" type="noConversion"/>
  </si>
  <si>
    <t>reset 15초, reboot 60초</t>
    <phoneticPr fontId="1" type="noConversion"/>
  </si>
  <si>
    <t>SAVE(SET) 버튼눌렀을 때 프리차져 셋업. No error 나오면 ok, 아니면 error 표시</t>
    <phoneticPr fontId="1" type="noConversion"/>
  </si>
  <si>
    <t xml:space="preserve">reset, reboot 실행시 메시지 -&gt; pnlstatus에 rst,rbt표시 -&gt; 15초, 60초 후에 sen idl 상태가 안되면 에러표시 </t>
    <phoneticPr fontId="1" type="noConversion"/>
  </si>
  <si>
    <t>no error는 문제가 있음. -113같은 에러가 나올때가 있음(이상이 없는 상태)</t>
    <phoneticPr fontId="1" type="noConversion"/>
  </si>
  <si>
    <t>discharge setting은 시간이 바로 적용이 안됨. Save후에 해야 함. 수정필요</t>
    <phoneticPr fontId="1" type="noConversion"/>
  </si>
  <si>
    <t>discharge set은 check set에서 에러가 있음. 확인필요</t>
    <phoneticPr fontId="1" type="noConversion"/>
  </si>
  <si>
    <t>CX</t>
    <phoneticPr fontId="1" type="noConversion"/>
  </si>
  <si>
    <t>PLC Error 일때 cmdstop 주석처리 - 수동측정도 안되는 상황발생.</t>
    <phoneticPr fontId="1" type="noConversion"/>
  </si>
  <si>
    <t>언어선택 추가</t>
    <phoneticPr fontId="1" type="noConversion"/>
  </si>
  <si>
    <t xml:space="preserve">reset, reboot은 idl 상태확인 까지 15,60초 timeout 설정으로 변경. </t>
    <phoneticPr fontId="1" type="noConversion"/>
  </si>
  <si>
    <t>no error 가 안나오고 다른 에러가 나오지만 문제는 없는 경우가 있음.</t>
    <phoneticPr fontId="1" type="noConversion"/>
  </si>
  <si>
    <t>WDT모드가 reset, reboot에서 안없어지는 경우가 있음. Set 설정후에 정상변경됨.</t>
    <phoneticPr fontId="1" type="noConversion"/>
  </si>
  <si>
    <t>기본폼은 완성. 메시지까지 포함하여 추가필요</t>
    <phoneticPr fontId="1" type="noConversion"/>
  </si>
  <si>
    <t>tray out 테스트 위해 꺼둠</t>
    <phoneticPr fontId="1" type="noConversion"/>
  </si>
  <si>
    <t>irocv 스펙 화면에 보이도록 추가</t>
    <phoneticPr fontId="1" type="noConversion"/>
  </si>
  <si>
    <t>plc 신호 tray in, tray out, probe open, probe close 신호 화면에 보이도록 추가</t>
    <phoneticPr fontId="1" type="noConversion"/>
  </si>
  <si>
    <t>ng info 화면 수정필요</t>
    <phoneticPr fontId="1" type="noConversion"/>
  </si>
  <si>
    <t>프리차져 충전중 전류는 흐르지 않지만 상태는 충전중으로 나오는 경우 에러 추가</t>
    <phoneticPr fontId="1" type="noConversion"/>
  </si>
  <si>
    <t>if(real_data.status[nIndex] &gt; 0) setfinaldata에서 이부분 확인을 &gt; -2로 해야 하지 않는지 ? =&gt;이것도 에러 발생.</t>
    <phoneticPr fontId="1" type="noConversion"/>
  </si>
  <si>
    <t>precharger final 데이터 저장아됨. Setfinaldata 오류있음
=&gt; //else real_data.final_volt[nIndex] = real_data.volt[nIndex]; 이부분 주석처리해야함</t>
    <phoneticPr fontId="1" type="noConversion"/>
  </si>
  <si>
    <t xml:space="preserve">프리차져 충전시 셀이 없는데 충전중으로 상태가 나오는 채널이 있는 경우 run상태가 계속 됨. 셋팅시간이후 5초 후에는 강제 종료되도록 셋팅 </t>
    <phoneticPr fontId="1" type="noConversion"/>
  </si>
  <si>
    <t>$ interger 변환 에러 -&gt; msg.length &gt;= 18 조건 추가</t>
    <phoneticPr fontId="1" type="noConversion"/>
  </si>
  <si>
    <t>모니터링 필요</t>
    <phoneticPr fontId="1" type="noConversion"/>
  </si>
  <si>
    <t>final data 처리시 -2상태는 무시해야 함. -2는 done상태로 충전이 끝나고 전압, 전류값이 변하는 상태</t>
    <phoneticPr fontId="1" type="noConversion"/>
  </si>
  <si>
    <t>Waiting from reply 메시지 나오면 에러창 띄우고 reset하도록 해야 함.</t>
    <phoneticPr fontId="1" type="noConversion"/>
  </si>
  <si>
    <t>STP를 타이머로 실행해서 정상 종료가 되는지 확인. Waiting from reply메세지 나오면 리셋하도록 수정</t>
    <phoneticPr fontId="1" type="noConversion"/>
  </si>
  <si>
    <t>리셋중입니다. 리붓중입니다. 메시지 계속 표시</t>
    <phoneticPr fontId="1" type="noConversion"/>
  </si>
  <si>
    <t>reboot은 일정 시간 후에 connect다시 하도록 수정필요</t>
    <phoneticPr fontId="1" type="noConversion"/>
  </si>
  <si>
    <t>상태가 2이지만 전압값이 0이 되는 경우가 있음. 상태가 2이고 전압이 100이상일때만 화면 표시 및 final data 처리</t>
    <phoneticPr fontId="1" type="noConversion"/>
  </si>
  <si>
    <t>보류</t>
    <phoneticPr fontId="1" type="noConversion"/>
  </si>
  <si>
    <t>마련 현장</t>
    <phoneticPr fontId="1" type="noConversion"/>
  </si>
  <si>
    <t>CX</t>
    <phoneticPr fontId="1" type="noConversion"/>
  </si>
  <si>
    <t>트레이 1번 -&gt; 400번 순서 변경</t>
    <phoneticPr fontId="1" type="noConversion"/>
  </si>
  <si>
    <t>IROCV, PRECHARGER 맵핑 수정</t>
    <phoneticPr fontId="1" type="noConversion"/>
  </si>
  <si>
    <t>ENA 실행시 no error 체크.  =&gt; 에러가 있으면 reset해야 함</t>
    <phoneticPr fontId="1" type="noConversion"/>
  </si>
  <si>
    <t>CX</t>
    <phoneticPr fontId="1" type="noConversion"/>
  </si>
  <si>
    <t>bt 컨트롤러 전원 turn off 후 turn on시 접속이 안됨. 프로그램 재실행행야 함.</t>
    <phoneticPr fontId="1" type="noConversion"/>
  </si>
  <si>
    <t>client-&gt;active == true 임. 수정필요</t>
    <phoneticPr fontId="1" type="noConversion"/>
  </si>
  <si>
    <t>bt 컨트롤러 연결표시</t>
    <phoneticPr fontId="1" type="noConversion"/>
  </si>
  <si>
    <t>=&gt; 20250704 007 수정</t>
    <phoneticPr fontId="1" type="noConversion"/>
  </si>
  <si>
    <t>프로그램 실행상태에서 bt 컨트롤러 turn off시 client-&gt;active가 true 상태임.
- client read가 안되면 일정시간 후에 diconnect 시키도록 수정필요</t>
    <phoneticPr fontId="1" type="noConversion"/>
  </si>
  <si>
    <t>20250704 008 수정</t>
    <phoneticPr fontId="1" type="noConversion"/>
  </si>
  <si>
    <t>IROCV plc error일때 에러 표시 후 에러 사라졌을 때 계속 남아있음</t>
    <phoneticPr fontId="1" type="noConversion"/>
  </si>
  <si>
    <t>NG 개수가 일정수 이상일때 에러표시(트레이 아웃 안함)</t>
    <phoneticPr fontId="1" type="noConversion"/>
  </si>
  <si>
    <t>ng 개수 저장및 불러오기 오류 수정</t>
    <phoneticPr fontId="1" type="noConversion"/>
  </si>
  <si>
    <t>CX</t>
    <phoneticPr fontId="1" type="noConversion"/>
  </si>
  <si>
    <t>SetResultList() 수정</t>
    <phoneticPr fontId="1" type="noConversion"/>
  </si>
  <si>
    <t>volt, curr 쓸때는 bwrite 사용할것</t>
    <phoneticPr fontId="1" type="noConversion"/>
  </si>
  <si>
    <t>CX</t>
    <phoneticPr fontId="1" type="noConversion"/>
  </si>
  <si>
    <t>config.time - 5</t>
    <phoneticPr fontId="1" type="noConversion"/>
  </si>
  <si>
    <t>plc 에러시 에러 메시지만 표시. Reset하면 안됨</t>
    <phoneticPr fontId="1" type="noConversion"/>
  </si>
  <si>
    <t>ena에서 에러발생후 메시지 표시는 큰 창으로 변경</t>
    <phoneticPr fontId="1" type="noConversion"/>
  </si>
  <si>
    <t>main에서 init할때 ready상태로 전환</t>
    <phoneticPr fontId="1" type="noConversion"/>
  </si>
  <si>
    <t>프리차져 init할 때 formtotal도 초기화</t>
    <phoneticPr fontId="1" type="noConversion"/>
  </si>
  <si>
    <t>irocv 그래프 크기 수정</t>
    <phoneticPr fontId="1" type="noConversion"/>
  </si>
  <si>
    <t>CX</t>
    <phoneticPr fontId="1" type="noConversion"/>
  </si>
  <si>
    <t>20250712 001</t>
  </si>
  <si>
    <t>20250712 001</t>
    <phoneticPr fontId="1" type="noConversion"/>
  </si>
  <si>
    <t>result가 3일때(abort) 전압이 500mv 이하이면 NG 
=&gt; 전류 100mA, 전압 500mV 이하면 불량으로 통일</t>
    <phoneticPr fontId="1" type="noConversion"/>
  </si>
  <si>
    <t>ir, ocv, voltage, current는 모두 따로 설정하고 bwrite==true 일때만 쓰기</t>
    <phoneticPr fontId="1" type="noConversion"/>
  </si>
  <si>
    <t>300ppm - 20250712 001</t>
    <phoneticPr fontId="1" type="noConversion"/>
  </si>
  <si>
    <t>plc -(음수) 값 넣기</t>
    <phoneticPr fontId="1" type="noConversion"/>
  </si>
  <si>
    <t>plc 음수, ena 에러, volt, current 따로 설정</t>
    <phoneticPr fontId="1" type="noConversion"/>
  </si>
  <si>
    <t>precharger 20250712 006</t>
    <phoneticPr fontId="1" type="noConversion"/>
  </si>
  <si>
    <t xml:space="preserve">IR, OCV, VOLTAGE, CURRENT는 PLC에서 2word로 되어있음. </t>
    <phoneticPr fontId="1" type="noConversion"/>
  </si>
  <si>
    <t>=&gt; 충전셋팅시간 + 7초후에 무조건 종료
=&gt; 택타임 문제로 60초(55)후에 무조건 종료</t>
    <phoneticPr fontId="1" type="noConversion"/>
  </si>
  <si>
    <t>PLC wirte complete, read complete 추가</t>
    <phoneticPr fontId="1" type="noConversion"/>
  </si>
  <si>
    <t>프리차져
write voltage, current value and badinformation
=&gt; Timer_FinishCharging</t>
    <phoneticPr fontId="1" type="noConversion"/>
  </si>
  <si>
    <t>IR/OCV
write ir, ocv value and badinformation
=&gt; ResponseAutoTestFinish</t>
    <phoneticPr fontId="1" type="noConversion"/>
  </si>
  <si>
    <t>CmdTrayOut에서 CmdForceStop으로 이동</t>
    <phoneticPr fontId="1" type="noConversion"/>
  </si>
  <si>
    <t>SetStep2 에러 났을 때 계속 하지 말고 에러메세지 표시</t>
    <phoneticPr fontId="1" type="noConversion"/>
  </si>
  <si>
    <t>Timer_FinishCharging 안하는 버전으로 수정 (시간 때문)</t>
    <phoneticPr fontId="1" type="noConversion"/>
  </si>
  <si>
    <t>20250714 007</t>
    <phoneticPr fontId="1" type="noConversion"/>
  </si>
  <si>
    <t>pc error 신호 죽이는 것 테스트 필요 (ng count error)</t>
    <phoneticPr fontId="1" type="noConversion"/>
  </si>
  <si>
    <t>CX</t>
    <phoneticPr fontId="1" type="noConversion"/>
  </si>
  <si>
    <t>확인완료</t>
    <phoneticPr fontId="1" type="noConversion"/>
  </si>
  <si>
    <t>plc read complete 신호 on시 pc write complete 신호 off</t>
    <phoneticPr fontId="1" type="noConversion"/>
  </si>
  <si>
    <t>20250715 002</t>
    <phoneticPr fontId="1" type="noConversion"/>
  </si>
  <si>
    <t>CX</t>
    <phoneticPr fontId="1" type="noConversion"/>
  </si>
  <si>
    <t>프리차져 volt_le, curr_le 조건추가</t>
    <phoneticPr fontId="1" type="noConversion"/>
  </si>
  <si>
    <t>20250716 001</t>
    <phoneticPr fontId="1" type="noConversion"/>
  </si>
  <si>
    <t>프리차져 조건 추가하면 실제 충전이 안되는데 충전 상태로 나오는(mon 데이터에서) 오류 해결됨.
SEQ:TEST:DEF 1,2,1,CURR_LE,0.01,BEFORE,40,FAIL
SEQ:TEST:DEF 1,2,2,VOLT_LE,0.1,BEFORE,40,FAIL</t>
    <phoneticPr fontId="1" type="noConversion"/>
  </si>
  <si>
    <t>CX</t>
    <phoneticPr fontId="1" type="noConversion"/>
  </si>
  <si>
    <t>"SEQ:STEP:DEF 1,1,1,VOLT_GE,1.2,BEFORE,20,NEXT\n";
"SEQ:STEP:DEF 1,2,PRECHARGE2," + cTime + "," + cCurr + "," + cVolt + "\n";</t>
    <phoneticPr fontId="1" type="noConversion"/>
  </si>
  <si>
    <t>20250717 001
- VOLT_GE 조건 추가
- CHARGE 명령어 대신 PRECHARGE2 명령어 사용</t>
    <phoneticPr fontId="1" type="noConversion"/>
  </si>
  <si>
    <t>10초 였다가 7초로 변경</t>
    <phoneticPr fontId="1" type="noConversion"/>
  </si>
  <si>
    <t>상태값(report 명령어)을 보지 말고 final data에서 volt&lt;500, curr&lt;100이면 에러로 처리</t>
    <phoneticPr fontId="1" type="noConversion"/>
  </si>
  <si>
    <t xml:space="preserve">CX </t>
    <phoneticPr fontId="1" type="noConversion"/>
  </si>
  <si>
    <t>PLC 통신 ASCII 모드로 변경 테스트</t>
    <phoneticPr fontId="1" type="noConversion"/>
  </si>
  <si>
    <t>20250717 002</t>
    <phoneticPr fontId="1" type="noConversion"/>
  </si>
  <si>
    <t>CX</t>
    <phoneticPr fontId="1" type="noConversion"/>
  </si>
  <si>
    <t>언어 정리 필요 (한자)</t>
    <phoneticPr fontId="1" type="noConversion"/>
  </si>
  <si>
    <t>메시지는 필요 없음</t>
    <phoneticPr fontId="1" type="noConversion"/>
  </si>
  <si>
    <t>CELL SERIAL 데이터 추가</t>
    <phoneticPr fontId="1" type="noConversion"/>
  </si>
  <si>
    <t>20250718 004</t>
    <phoneticPr fontId="1" type="noConversion"/>
  </si>
  <si>
    <t>ng count error 에러 발생시 tray ejection 상태가 되는 문제… -&gt; DisplayStatus(nEND) 추가</t>
    <phoneticPr fontId="1" type="noConversion"/>
  </si>
  <si>
    <t>plc write msg에서 sleep 사용시 시간 테스트. 100, 50, 30, 20 …</t>
    <phoneticPr fontId="1" type="noConversion"/>
  </si>
  <si>
    <t>프리차져 에러 색상표시 충전 후 10초이상 부터.</t>
    <phoneticPr fontId="1" type="noConversion"/>
  </si>
  <si>
    <t>trayinfo 파일 저장하지 않음</t>
    <phoneticPr fontId="1" type="noConversion"/>
  </si>
  <si>
    <t>프리차져 테스트 조건 1.2 -&gt; 2.0 으로 변경 테스트</t>
    <phoneticPr fontId="1" type="noConversion"/>
  </si>
  <si>
    <t>채널 번호 가로 1, 21, 41, 61 … 로 변경</t>
    <phoneticPr fontId="1" type="noConversion"/>
  </si>
  <si>
    <t>plc write msg 타이머 시간 300-&gt;200 으로 변경 테스트</t>
    <phoneticPr fontId="1" type="noConversion"/>
  </si>
  <si>
    <t>수동에서 plc write result = false 추가</t>
    <phoneticPr fontId="1" type="noConversion"/>
  </si>
  <si>
    <t>결과 파일에 cell serial 저장</t>
    <phoneticPr fontId="1" type="noConversion"/>
  </si>
  <si>
    <t>20250721 006</t>
    <phoneticPr fontId="1" type="noConversion"/>
  </si>
  <si>
    <t>min, max 값 * 10 해서 plc에 쓰기</t>
    <phoneticPr fontId="1" type="noConversion"/>
  </si>
  <si>
    <t>PLC interface 창 항상 위에 오도록</t>
    <phoneticPr fontId="1" type="noConversion"/>
  </si>
  <si>
    <t>프리차져 cmdforcestop 2번 호출</t>
    <phoneticPr fontId="1" type="noConversion"/>
  </si>
  <si>
    <t>plc write voltage, current, ir, ocv 쓰기 switch 문으로 변경 테스트</t>
    <phoneticPr fontId="1" type="noConversion"/>
  </si>
  <si>
    <t>20250722 001</t>
    <phoneticPr fontId="1" type="noConversion"/>
  </si>
  <si>
    <t>graph 확인</t>
    <phoneticPr fontId="1" type="noConversion"/>
  </si>
  <si>
    <t>=&gt; Yvalue 사용</t>
    <phoneticPr fontId="1" type="noConversion"/>
  </si>
  <si>
    <t>프리차져 상태가 2인데 전압/전류가 없는 경우가 있음. 조건변경필요</t>
    <phoneticPr fontId="1" type="noConversion"/>
  </si>
  <si>
    <t>read cell info후에 start 를 못지우는 경우 에러남</t>
    <phoneticPr fontId="1" type="noConversion"/>
  </si>
  <si>
    <t>=&gt; PLC initialization에서 한번더 초기화
=&gt; 현재 plc 오류로 에러 남</t>
    <phoneticPr fontId="1" type="noConversion"/>
  </si>
  <si>
    <t>CX</t>
    <phoneticPr fontId="1" type="noConversion"/>
  </si>
  <si>
    <t>model name 추가 - 결과파일 이름에 model name 쓰기</t>
    <phoneticPr fontId="1" type="noConversion"/>
  </si>
  <si>
    <t>프로그램 종료시 암호 매뉴얼에 추가</t>
    <phoneticPr fontId="1" type="noConversion"/>
  </si>
  <si>
    <t>20250723 003</t>
    <phoneticPr fontId="1" type="noConversion"/>
  </si>
  <si>
    <t>=&gt;상태가 2인데 전압이 0인 경우가 있음 (250411120146_MON)
=&gt; mon 데이터를 잘 못 읽었거나 데이터 자체가 잘못 된 경우일 수 있음.
상태 &gt; -2 and 전압 &gt; 100 조건이 항상 필요. (20250723 004)</t>
    <phoneticPr fontId="1" type="noConversion"/>
  </si>
  <si>
    <t>일반데이터</t>
    <phoneticPr fontId="1" type="noConversion"/>
  </si>
  <si>
    <t>VOLTAGE</t>
    <phoneticPr fontId="1" type="noConversion"/>
  </si>
  <si>
    <t>CURRENT</t>
    <phoneticPr fontId="1" type="noConversion"/>
  </si>
  <si>
    <t>IR</t>
    <phoneticPr fontId="1" type="noConversion"/>
  </si>
  <si>
    <t>OCV</t>
    <phoneticPr fontId="1" type="noConversion"/>
  </si>
  <si>
    <t>CX</t>
    <phoneticPr fontId="1" type="noConversion"/>
  </si>
  <si>
    <t>cell serial 저장 switch 문으로 변경</t>
    <phoneticPr fontId="1" type="noConversion"/>
  </si>
  <si>
    <t>precharge2에서 test조건 추가 후 상태가 2인데 전압이 0인 경우가 없음.  추가 모니터링 필요…</t>
    <phoneticPr fontId="1" type="noConversion"/>
  </si>
  <si>
    <t>init 할때 문제 있음. Cell id 파일 있으면 바로 넘어가도록 수정</t>
    <phoneticPr fontId="1" type="noConversion"/>
  </si>
  <si>
    <t>cell id bypass 추가</t>
    <phoneticPr fontId="1" type="noConversion"/>
  </si>
  <si>
    <t>auto/manual 변경시 plc 신호 수정</t>
    <phoneticPr fontId="1" type="noConversion"/>
  </si>
  <si>
    <t>20250726 002</t>
    <phoneticPr fontId="1" type="noConversion"/>
  </si>
  <si>
    <t>CX</t>
    <phoneticPr fontId="1" type="noConversion"/>
  </si>
  <si>
    <t>cell id tray id로 tray 파일 확인 + 상단 tray id 파일로 한번 더 확인.
- 이미 cell id 저장 로직이 끝나면 plc에서 cell id 데이터를 모두 지우기 때문에</t>
    <phoneticPr fontId="1" type="noConversion"/>
  </si>
  <si>
    <t>20250728 001</t>
    <phoneticPr fontId="1" type="noConversion"/>
  </si>
  <si>
    <t>CX</t>
    <phoneticPr fontId="1" type="noConversion"/>
  </si>
  <si>
    <t>cell id bypass 체크시 plc에 신호 on</t>
    <phoneticPr fontId="1" type="noConversion"/>
  </si>
  <si>
    <t>CX</t>
    <phoneticPr fontId="1" type="noConversion"/>
  </si>
  <si>
    <t>현재(8/5) 충전시간 셋팅은 precharge + precharge2 총 시간.
-&gt; 충전시간 셋팅은 precharge2만 적용. 총 시간은 charge.time + 22초로.</t>
    <phoneticPr fontId="1" type="noConversion"/>
  </si>
  <si>
    <t>- 20250827 001 버전
- precharge 시간 20초 + 정리시간 2초</t>
    <phoneticPr fontId="1" type="noConversion"/>
  </si>
  <si>
    <t>CX</t>
    <phoneticPr fontId="1" type="noConversion"/>
  </si>
  <si>
    <t>precharge 10, precharge2 30, precharge2 settle time 7
-&gt; 셋팅 30초로 하면 실제 충전 시간은 47초 + asb 4초 + senidl 2초 = 총 53초</t>
    <phoneticPr fontId="1" type="noConversion"/>
  </si>
  <si>
    <t>- 20250905 001
config.time = 30, SETTLETIME = 7, cTime = config.time + SETTLETIME = 37
btset1[1] = 37, charge[0].time = 30 (btset1[1] - SETTLETIME)
btset2[1] = 37, charge[1].time = 30 (btset2[1] - SETTLETIME)</t>
    <phoneticPr fontId="1" type="noConversion"/>
  </si>
  <si>
    <t>CELL ID 데이터와 CELL COUNT 개수 다를때 에러창 띄우기</t>
    <phoneticPr fontId="1" type="noConversion"/>
  </si>
  <si>
    <t>- 20250903 002</t>
    <phoneticPr fontId="1" type="noConversion"/>
  </si>
  <si>
    <t>CX</t>
    <phoneticPr fontId="1" type="noConversion"/>
  </si>
  <si>
    <t>setting error 창추가</t>
  </si>
  <si>
    <t>WriteResultFile에서 tray id 중복 확인 (현재는 파일이름에 hhmmss포함되어 있어 중복처리안됨)</t>
    <phoneticPr fontId="1" type="noConversion"/>
  </si>
  <si>
    <t>void __fastcall TTotalForm::WriteResultCode()
{
    int nCode;
	for(int i = 0; i &lt; 400; i++)
	{
        if(retest.cell[i] == 2) nCode = 5;          //* IR SPEC NG
        else if(retest.cell[i] == 3) nCode = 4;     //* OCV SPEC NG
	    else if(retest.cell[i] == 4) nCode = 6;     //* IR CE(999) NG
        Mod_PLC-&gt;SetResultCode(PC_D_IROCV_RESULT_CODE + i, nCode);
	}
}</t>
    <phoneticPr fontId="1" type="noConversion"/>
  </si>
  <si>
    <t>CX</t>
    <phoneticPr fontId="1" type="noConversion"/>
  </si>
  <si>
    <t>ng code 추가</t>
    <phoneticPr fontId="1" type="noConversion"/>
  </si>
  <si>
    <t>138-1</t>
    <phoneticPr fontId="1" type="noConversion"/>
  </si>
  <si>
    <t>SetRemeasureList -&gt; RemeasureExecute -&gt; SetRemeasureList 반복문제 수정필요</t>
    <phoneticPr fontId="1" type="noConversion"/>
  </si>
  <si>
    <t>RemeasureExecute에서 SetRemeasureList 삭제</t>
    <phoneticPr fontId="1" type="noConversion"/>
  </si>
  <si>
    <t>- 현재 1초 단위로 중복 저장되는 문제 있음.
- hhmm까지 확인하면 중복방지 가능
- 1초전 확인 테스트 (TDateTime prev = now - (1.0 / 86400.0);   // 86400초 = 1일)</t>
    <phoneticPr fontId="1" type="noConversion"/>
  </si>
  <si>
    <t>셋팅값이 0이면 에러 표시 =&gt; No Setting Values 에러</t>
    <phoneticPr fontId="1" type="noConversion"/>
  </si>
  <si>
    <t>프리차져 WDT 모드일때 RESET 에러 표시 =&gt; 창대신 판넬에 …</t>
    <phoneticPr fontId="1" type="noConversion"/>
  </si>
  <si>
    <t>IDLE 시간 2초에서 4초로 변경</t>
    <phoneticPr fontId="1" type="noConversion"/>
  </si>
  <si>
    <t>설정 암호 추가 (암호는 파일에서 수정)</t>
    <phoneticPr fontId="1" type="noConversion"/>
  </si>
  <si>
    <t>average 체크 못하도록 수정</t>
    <phoneticPr fontId="1" type="noConversion"/>
  </si>
  <si>
    <t>config 창에서 connect/disconnect 글자 사라짐. (한글/영문 에서)</t>
    <phoneticPr fontId="1" type="noConversion"/>
  </si>
  <si>
    <t>CX</t>
    <phoneticPr fontId="1" type="noConversion"/>
  </si>
  <si>
    <t>CX</t>
    <phoneticPr fontId="1" type="noConversion"/>
  </si>
  <si>
    <t>재측정 수정 - SetRemeasureListAfter 추가</t>
    <phoneticPr fontId="1" type="noConversion"/>
  </si>
  <si>
    <t>충전이 precharge1만 되고 멈춰서 마지막 전압값이 900mV 인경우가 있음. -&gt; 불량처리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</si>
</sst>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0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strike/>
      <sz val="11"/>
      <color theme="1"/>
      <name val="맑은 고딕"/>
      <family val="2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trike/>
      <u/>
      <sz val="11"/>
      <color theme="1"/>
      <name val="맑은 고딕"/>
      <family val="3"/>
      <charset val="129"/>
      <scheme val="minor"/>
    </font>
    <font>
      <b/>
      <strike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0" fillId="0" borderId="0" xfId="0" applyAlignment="1">
      <alignment horizontal="left" indent="1"/>
    </xf>
    <xf numFmtId="0" fontId="0" fillId="2" borderId="2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49" fontId="0" fillId="0" borderId="7" xfId="0" applyNumberFormat="1" applyBorder="1"/>
    <xf numFmtId="176" fontId="0" fillId="0" borderId="9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49" fontId="0" fillId="0" borderId="0" xfId="0" applyNumberFormat="1"/>
    <xf numFmtId="49" fontId="0" fillId="2" borderId="6" xfId="0" applyNumberFormat="1" applyFill="1" applyBorder="1" applyAlignment="1">
      <alignment horizontal="center"/>
    </xf>
    <xf numFmtId="49" fontId="0" fillId="0" borderId="16" xfId="0" applyNumberFormat="1" applyBorder="1"/>
    <xf numFmtId="49" fontId="0" fillId="0" borderId="8" xfId="0" applyNumberFormat="1" applyBorder="1"/>
    <xf numFmtId="49" fontId="2" fillId="0" borderId="10" xfId="0" applyNumberFormat="1" applyFont="1" applyBorder="1"/>
    <xf numFmtId="49" fontId="0" fillId="2" borderId="1" xfId="0" applyNumberFormat="1" applyFill="1" applyBorder="1" applyAlignment="1">
      <alignment horizontal="center"/>
    </xf>
    <xf numFmtId="49" fontId="4" fillId="0" borderId="9" xfId="0" applyNumberFormat="1" applyFont="1" applyFill="1" applyBorder="1"/>
    <xf numFmtId="49" fontId="5" fillId="0" borderId="3" xfId="0" applyNumberFormat="1" applyFont="1" applyBorder="1"/>
    <xf numFmtId="49" fontId="0" fillId="0" borderId="15" xfId="0" applyNumberFormat="1" applyFont="1" applyBorder="1"/>
    <xf numFmtId="49" fontId="0" fillId="0" borderId="4" xfId="0" applyNumberFormat="1" applyFont="1" applyBorder="1"/>
    <xf numFmtId="49" fontId="5" fillId="0" borderId="15" xfId="0" applyNumberFormat="1" applyFont="1" applyBorder="1"/>
    <xf numFmtId="176" fontId="0" fillId="0" borderId="15" xfId="0" applyNumberFormat="1" applyBorder="1" applyAlignment="1">
      <alignment horizontal="center" vertical="center"/>
    </xf>
    <xf numFmtId="49" fontId="6" fillId="0" borderId="15" xfId="0" applyNumberFormat="1" applyFont="1" applyBorder="1"/>
    <xf numFmtId="49" fontId="4" fillId="0" borderId="15" xfId="0" applyNumberFormat="1" applyFont="1" applyBorder="1"/>
    <xf numFmtId="49" fontId="4" fillId="0" borderId="15" xfId="0" applyNumberFormat="1" applyFont="1" applyBorder="1" applyAlignment="1">
      <alignment wrapText="1"/>
    </xf>
    <xf numFmtId="49" fontId="0" fillId="0" borderId="16" xfId="0" applyNumberFormat="1" applyBorder="1" applyAlignment="1">
      <alignment vertical="center"/>
    </xf>
    <xf numFmtId="49" fontId="6" fillId="0" borderId="15" xfId="0" applyNumberFormat="1" applyFont="1" applyBorder="1" applyAlignment="1">
      <alignment wrapText="1"/>
    </xf>
    <xf numFmtId="176" fontId="0" fillId="0" borderId="15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49" fontId="6" fillId="0" borderId="0" xfId="0" applyNumberFormat="1" applyFont="1" applyBorder="1"/>
    <xf numFmtId="49" fontId="0" fillId="0" borderId="18" xfId="0" applyNumberFormat="1" applyBorder="1"/>
    <xf numFmtId="176" fontId="3" fillId="0" borderId="15" xfId="0" applyNumberFormat="1" applyFon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5" fillId="0" borderId="15" xfId="0" applyNumberFormat="1" applyFont="1" applyBorder="1" applyAlignment="1">
      <alignment wrapText="1"/>
    </xf>
    <xf numFmtId="49" fontId="0" fillId="0" borderId="16" xfId="0" applyNumberFormat="1" applyBorder="1" applyAlignment="1">
      <alignment vertical="center" wrapText="1"/>
    </xf>
    <xf numFmtId="176" fontId="0" fillId="0" borderId="15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9" fontId="4" fillId="0" borderId="15" xfId="0" applyNumberFormat="1" applyFont="1" applyFill="1" applyBorder="1"/>
    <xf numFmtId="0" fontId="3" fillId="0" borderId="0" xfId="0" applyFont="1"/>
    <xf numFmtId="0" fontId="0" fillId="0" borderId="2" xfId="0" applyFill="1" applyBorder="1" applyAlignment="1">
      <alignment horizontal="left" vertical="center"/>
    </xf>
    <xf numFmtId="0" fontId="0" fillId="0" borderId="2" xfId="0" applyFill="1" applyBorder="1" applyAlignment="1">
      <alignment vertical="center"/>
    </xf>
    <xf numFmtId="49" fontId="7" fillId="0" borderId="15" xfId="0" applyNumberFormat="1" applyFont="1" applyBorder="1"/>
    <xf numFmtId="49" fontId="4" fillId="0" borderId="15" xfId="0" applyNumberFormat="1" applyFont="1" applyBorder="1" applyAlignment="1">
      <alignment vertical="center" wrapText="1"/>
    </xf>
    <xf numFmtId="49" fontId="8" fillId="0" borderId="15" xfId="0" applyNumberFormat="1" applyFont="1" applyBorder="1"/>
    <xf numFmtId="0" fontId="0" fillId="4" borderId="22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9" fontId="9" fillId="0" borderId="15" xfId="0" applyNumberFormat="1" applyFont="1" applyBorder="1"/>
    <xf numFmtId="0" fontId="0" fillId="4" borderId="23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9" fillId="0" borderId="15" xfId="0" applyNumberFormat="1" applyFont="1" applyBorder="1" applyAlignment="1">
      <alignment wrapText="1"/>
    </xf>
    <xf numFmtId="176" fontId="0" fillId="0" borderId="15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9" fontId="6" fillId="0" borderId="16" xfId="0" applyNumberFormat="1" applyFont="1" applyBorder="1"/>
    <xf numFmtId="49" fontId="6" fillId="0" borderId="16" xfId="0" applyNumberFormat="1" applyFont="1" applyBorder="1" applyAlignment="1">
      <alignment vertical="center"/>
    </xf>
    <xf numFmtId="49" fontId="6" fillId="2" borderId="15" xfId="0" applyNumberFormat="1" applyFont="1" applyFill="1" applyBorder="1" applyAlignment="1">
      <alignment wrapText="1"/>
    </xf>
    <xf numFmtId="176" fontId="0" fillId="0" borderId="15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49" fontId="9" fillId="0" borderId="15" xfId="0" applyNumberFormat="1" applyFont="1" applyFill="1" applyBorder="1" applyAlignment="1">
      <alignment wrapText="1"/>
    </xf>
    <xf numFmtId="49" fontId="4" fillId="0" borderId="15" xfId="0" applyNumberFormat="1" applyFont="1" applyFill="1" applyBorder="1" applyAlignment="1">
      <alignment wrapText="1"/>
    </xf>
    <xf numFmtId="49" fontId="6" fillId="0" borderId="16" xfId="0" applyNumberFormat="1" applyFont="1" applyBorder="1" applyAlignment="1">
      <alignment wrapText="1"/>
    </xf>
    <xf numFmtId="49" fontId="9" fillId="0" borderId="15" xfId="0" applyNumberFormat="1" applyFont="1" applyBorder="1" applyAlignment="1">
      <alignment vertical="center"/>
    </xf>
    <xf numFmtId="0" fontId="0" fillId="2" borderId="15" xfId="0" applyFill="1" applyBorder="1" applyAlignment="1">
      <alignment horizontal="center" vertical="center"/>
    </xf>
    <xf numFmtId="176" fontId="0" fillId="2" borderId="15" xfId="0" applyNumberFormat="1" applyFill="1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9" fontId="9" fillId="0" borderId="15" xfId="0" applyNumberFormat="1" applyFont="1" applyFill="1" applyBorder="1"/>
    <xf numFmtId="49" fontId="0" fillId="0" borderId="16" xfId="0" applyNumberFormat="1" applyFill="1" applyBorder="1" applyAlignment="1">
      <alignment vertical="center"/>
    </xf>
    <xf numFmtId="49" fontId="0" fillId="0" borderId="16" xfId="0" applyNumberFormat="1" applyFill="1" applyBorder="1" applyAlignment="1">
      <alignment wrapText="1"/>
    </xf>
    <xf numFmtId="49" fontId="0" fillId="0" borderId="16" xfId="0" applyNumberFormat="1" applyFill="1" applyBorder="1"/>
    <xf numFmtId="176" fontId="0" fillId="0" borderId="15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49" fontId="0" fillId="0" borderId="16" xfId="0" applyNumberFormat="1" applyBorder="1" applyAlignment="1">
      <alignment wrapText="1"/>
    </xf>
    <xf numFmtId="49" fontId="9" fillId="0" borderId="15" xfId="0" applyNumberFormat="1" applyFont="1" applyBorder="1" applyAlignment="1">
      <alignment vertical="center" wrapText="1"/>
    </xf>
    <xf numFmtId="176" fontId="0" fillId="0" borderId="15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9" fontId="6" fillId="5" borderId="15" xfId="0" applyNumberFormat="1" applyFont="1" applyFill="1" applyBorder="1" applyAlignment="1">
      <alignment wrapText="1"/>
    </xf>
    <xf numFmtId="49" fontId="6" fillId="5" borderId="15" xfId="0" applyNumberFormat="1" applyFont="1" applyFill="1" applyBorder="1" applyAlignment="1">
      <alignment vertical="center" wrapText="1"/>
    </xf>
    <xf numFmtId="49" fontId="9" fillId="2" borderId="15" xfId="0" applyNumberFormat="1" applyFont="1" applyFill="1" applyBorder="1" applyAlignment="1">
      <alignment wrapText="1"/>
    </xf>
    <xf numFmtId="49" fontId="9" fillId="2" borderId="15" xfId="0" applyNumberFormat="1" applyFont="1" applyFill="1" applyBorder="1" applyAlignment="1">
      <alignment vertical="center" wrapText="1"/>
    </xf>
    <xf numFmtId="176" fontId="0" fillId="0" borderId="15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9" fontId="6" fillId="5" borderId="3" xfId="0" applyNumberFormat="1" applyFont="1" applyFill="1" applyBorder="1" applyAlignment="1">
      <alignment wrapText="1"/>
    </xf>
    <xf numFmtId="49" fontId="9" fillId="5" borderId="0" xfId="0" applyNumberFormat="1" applyFont="1" applyFill="1" applyBorder="1" applyAlignment="1">
      <alignment vertical="center" wrapText="1"/>
    </xf>
    <xf numFmtId="0" fontId="0" fillId="0" borderId="14" xfId="0" applyBorder="1" applyAlignment="1">
      <alignment horizontal="center" vertical="center"/>
    </xf>
    <xf numFmtId="49" fontId="9" fillId="5" borderId="15" xfId="0" applyNumberFormat="1" applyFont="1" applyFill="1" applyBorder="1" applyAlignment="1">
      <alignment wrapText="1"/>
    </xf>
    <xf numFmtId="49" fontId="9" fillId="0" borderId="3" xfId="0" applyNumberFormat="1" applyFont="1" applyBorder="1" applyAlignment="1">
      <alignment wrapText="1"/>
    </xf>
    <xf numFmtId="176" fontId="0" fillId="0" borderId="15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3" borderId="22" xfId="0" applyFont="1" applyFill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center" vertical="center" wrapText="1"/>
    </xf>
    <xf numFmtId="176" fontId="0" fillId="0" borderId="15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/>
    </xf>
    <xf numFmtId="176" fontId="3" fillId="4" borderId="20" xfId="0" applyNumberFormat="1" applyFont="1" applyFill="1" applyBorder="1" applyAlignment="1">
      <alignment horizontal="center" vertical="center"/>
    </xf>
    <xf numFmtId="176" fontId="3" fillId="4" borderId="2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DE6C4-262C-4A3A-B6CD-43B50BAA1EF4}">
  <dimension ref="B2:H28"/>
  <sheetViews>
    <sheetView topLeftCell="A16" workbookViewId="0">
      <selection activeCell="G12" sqref="G12"/>
    </sheetView>
  </sheetViews>
  <sheetFormatPr defaultRowHeight="16.5" x14ac:dyDescent="0.3"/>
  <cols>
    <col min="2" max="2" width="28.375" style="1" customWidth="1"/>
    <col min="3" max="3" width="23" style="1" customWidth="1"/>
    <col min="4" max="4" width="29.75" customWidth="1"/>
    <col min="5" max="5" width="22.5" customWidth="1"/>
  </cols>
  <sheetData>
    <row r="2" spans="2:5" x14ac:dyDescent="0.3">
      <c r="B2" s="118" t="s">
        <v>14</v>
      </c>
      <c r="C2" s="118"/>
      <c r="D2" s="118"/>
      <c r="E2" s="118"/>
    </row>
    <row r="3" spans="2:5" ht="17.25" thickBot="1" x14ac:dyDescent="0.35"/>
    <row r="4" spans="2:5" s="3" customFormat="1" ht="17.25" thickBot="1" x14ac:dyDescent="0.35">
      <c r="B4" s="2" t="s">
        <v>17</v>
      </c>
      <c r="C4" s="2" t="s">
        <v>3</v>
      </c>
      <c r="D4" s="2" t="s">
        <v>15</v>
      </c>
      <c r="E4" s="2" t="s">
        <v>16</v>
      </c>
    </row>
    <row r="5" spans="2:5" s="3" customFormat="1" ht="17.25" thickBot="1" x14ac:dyDescent="0.35">
      <c r="B5" s="119" t="s">
        <v>95</v>
      </c>
      <c r="C5" s="120"/>
      <c r="D5" s="120"/>
      <c r="E5" s="121"/>
    </row>
    <row r="6" spans="2:5" s="3" customFormat="1" ht="17.25" thickBot="1" x14ac:dyDescent="0.35">
      <c r="B6" s="50" t="s">
        <v>4</v>
      </c>
      <c r="C6" s="50" t="s">
        <v>100</v>
      </c>
      <c r="D6" s="51" t="s">
        <v>13</v>
      </c>
      <c r="E6" s="51" t="s">
        <v>5</v>
      </c>
    </row>
    <row r="7" spans="2:5" s="3" customFormat="1" ht="17.25" thickBot="1" x14ac:dyDescent="0.35">
      <c r="B7" s="50" t="s">
        <v>97</v>
      </c>
      <c r="C7" s="50" t="s">
        <v>101</v>
      </c>
      <c r="D7" s="51"/>
      <c r="E7" s="51"/>
    </row>
    <row r="8" spans="2:5" s="3" customFormat="1" ht="17.25" thickBot="1" x14ac:dyDescent="0.35">
      <c r="B8" s="50" t="s">
        <v>98</v>
      </c>
      <c r="C8" s="50" t="s">
        <v>102</v>
      </c>
      <c r="D8" s="51"/>
      <c r="E8" s="51"/>
    </row>
    <row r="9" spans="2:5" s="3" customFormat="1" ht="17.25" thickBot="1" x14ac:dyDescent="0.35">
      <c r="B9" s="50" t="s">
        <v>99</v>
      </c>
      <c r="C9" s="50" t="s">
        <v>103</v>
      </c>
      <c r="D9" s="51"/>
      <c r="E9" s="51"/>
    </row>
    <row r="10" spans="2:5" s="3" customFormat="1" ht="17.25" thickBot="1" x14ac:dyDescent="0.35">
      <c r="B10" s="50" t="s">
        <v>6</v>
      </c>
      <c r="C10" s="50" t="s">
        <v>104</v>
      </c>
      <c r="D10" s="51" t="s">
        <v>7</v>
      </c>
      <c r="E10" s="51" t="s">
        <v>8</v>
      </c>
    </row>
    <row r="11" spans="2:5" s="3" customFormat="1" ht="17.25" thickBot="1" x14ac:dyDescent="0.35">
      <c r="B11" s="6" t="s">
        <v>21</v>
      </c>
      <c r="C11" s="6" t="s">
        <v>105</v>
      </c>
      <c r="D11" s="7"/>
      <c r="E11" s="7"/>
    </row>
    <row r="12" spans="2:5" ht="17.25" thickBot="1" x14ac:dyDescent="0.35">
      <c r="B12" s="119" t="s">
        <v>96</v>
      </c>
      <c r="C12" s="120"/>
      <c r="D12" s="120"/>
      <c r="E12" s="121"/>
    </row>
    <row r="13" spans="2:5" ht="17.25" thickBot="1" x14ac:dyDescent="0.35">
      <c r="B13" s="50" t="s">
        <v>4</v>
      </c>
      <c r="C13" s="50" t="s">
        <v>100</v>
      </c>
      <c r="D13" s="51" t="s">
        <v>13</v>
      </c>
      <c r="E13" s="51" t="s">
        <v>5</v>
      </c>
    </row>
    <row r="14" spans="2:5" ht="17.25" thickBot="1" x14ac:dyDescent="0.35">
      <c r="B14" s="50" t="s">
        <v>97</v>
      </c>
      <c r="C14" s="50" t="s">
        <v>101</v>
      </c>
      <c r="D14" s="51"/>
      <c r="E14" s="51"/>
    </row>
    <row r="15" spans="2:5" ht="17.25" thickBot="1" x14ac:dyDescent="0.35">
      <c r="B15" s="50" t="s">
        <v>98</v>
      </c>
      <c r="C15" s="50" t="s">
        <v>102</v>
      </c>
      <c r="D15" s="51"/>
      <c r="E15" s="51"/>
    </row>
    <row r="16" spans="2:5" ht="17.25" thickBot="1" x14ac:dyDescent="0.35">
      <c r="B16" s="50" t="s">
        <v>99</v>
      </c>
      <c r="C16" s="50" t="s">
        <v>103</v>
      </c>
      <c r="D16" s="51"/>
      <c r="E16" s="51"/>
    </row>
    <row r="17" spans="2:8" ht="17.25" thickBot="1" x14ac:dyDescent="0.35">
      <c r="B17" s="50" t="s">
        <v>6</v>
      </c>
      <c r="C17" s="50" t="s">
        <v>104</v>
      </c>
      <c r="D17" s="51" t="s">
        <v>7</v>
      </c>
      <c r="E17" s="51" t="s">
        <v>8</v>
      </c>
    </row>
    <row r="18" spans="2:8" ht="17.25" thickBot="1" x14ac:dyDescent="0.35">
      <c r="B18" s="6" t="s">
        <v>21</v>
      </c>
      <c r="C18" s="6" t="s">
        <v>105</v>
      </c>
      <c r="D18" s="7"/>
      <c r="E18" s="7"/>
    </row>
    <row r="20" spans="2:8" x14ac:dyDescent="0.3">
      <c r="H20" s="49"/>
    </row>
    <row r="23" spans="2:8" x14ac:dyDescent="0.3">
      <c r="B23" s="118" t="s">
        <v>20</v>
      </c>
      <c r="C23" s="118"/>
      <c r="D23" s="118"/>
      <c r="E23" s="118"/>
    </row>
    <row r="24" spans="2:8" ht="17.25" thickBot="1" x14ac:dyDescent="0.35"/>
    <row r="25" spans="2:8" ht="17.25" thickBot="1" x14ac:dyDescent="0.35">
      <c r="B25" s="2" t="s">
        <v>17</v>
      </c>
      <c r="C25" s="2" t="s">
        <v>3</v>
      </c>
      <c r="D25" s="2" t="s">
        <v>11</v>
      </c>
      <c r="E25" s="2" t="s">
        <v>12</v>
      </c>
    </row>
    <row r="26" spans="2:8" ht="17.25" thickBot="1" x14ac:dyDescent="0.35">
      <c r="B26" s="4" t="s">
        <v>10</v>
      </c>
      <c r="C26" s="4"/>
      <c r="D26" s="5"/>
      <c r="E26" s="5"/>
    </row>
    <row r="27" spans="2:8" ht="17.25" thickBot="1" x14ac:dyDescent="0.35">
      <c r="B27" s="6" t="s">
        <v>18</v>
      </c>
      <c r="C27" s="6"/>
      <c r="D27" s="7"/>
      <c r="E27" s="7"/>
    </row>
    <row r="28" spans="2:8" ht="17.25" thickBot="1" x14ac:dyDescent="0.35">
      <c r="B28" s="6" t="s">
        <v>19</v>
      </c>
      <c r="C28" s="6"/>
      <c r="D28" s="7"/>
      <c r="E28" s="7"/>
    </row>
  </sheetData>
  <mergeCells count="4">
    <mergeCell ref="B2:E2"/>
    <mergeCell ref="B23:E23"/>
    <mergeCell ref="B5:E5"/>
    <mergeCell ref="B12:E1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418C2-2F25-4DF5-AD93-3985FBAF3208}">
  <dimension ref="B1:F189"/>
  <sheetViews>
    <sheetView tabSelected="1" zoomScaleNormal="100" workbookViewId="0">
      <pane ySplit="2" topLeftCell="A178" activePane="bottomLeft" state="frozen"/>
      <selection pane="bottomLeft" activeCell="E187" sqref="E187"/>
    </sheetView>
  </sheetViews>
  <sheetFormatPr defaultRowHeight="16.5" x14ac:dyDescent="0.3"/>
  <cols>
    <col min="1" max="1" width="3" customWidth="1"/>
    <col min="2" max="2" width="6.875" style="3" customWidth="1"/>
    <col min="3" max="3" width="5.75" style="3" customWidth="1"/>
    <col min="4" max="4" width="10.375" style="3" customWidth="1"/>
    <col min="5" max="5" width="74.75" style="14" bestFit="1" customWidth="1"/>
    <col min="6" max="6" width="88.125" style="14" customWidth="1"/>
  </cols>
  <sheetData>
    <row r="1" spans="2:6" ht="9.75" customHeight="1" thickBot="1" x14ac:dyDescent="0.35"/>
    <row r="2" spans="2:6" ht="17.25" thickBot="1" x14ac:dyDescent="0.35">
      <c r="B2" s="38" t="s">
        <v>0</v>
      </c>
      <c r="C2" s="8"/>
      <c r="D2" s="8" t="s">
        <v>9</v>
      </c>
      <c r="E2" s="19" t="s">
        <v>1</v>
      </c>
      <c r="F2" s="15" t="s">
        <v>2</v>
      </c>
    </row>
    <row r="3" spans="2:6" ht="24" customHeight="1" thickBot="1" x14ac:dyDescent="0.35">
      <c r="B3" s="55"/>
      <c r="C3" s="60"/>
      <c r="D3" s="126" t="s">
        <v>66</v>
      </c>
      <c r="E3" s="126"/>
      <c r="F3" s="127"/>
    </row>
    <row r="4" spans="2:6" hidden="1" x14ac:dyDescent="0.3">
      <c r="B4" s="33">
        <v>1</v>
      </c>
      <c r="C4" s="61" t="s">
        <v>130</v>
      </c>
      <c r="D4" s="10">
        <v>45604</v>
      </c>
      <c r="E4" s="20" t="s">
        <v>22</v>
      </c>
      <c r="F4" s="18"/>
    </row>
    <row r="5" spans="2:6" hidden="1" x14ac:dyDescent="0.3">
      <c r="B5" s="39">
        <v>2</v>
      </c>
      <c r="C5" s="61" t="s">
        <v>130</v>
      </c>
      <c r="D5" s="12">
        <v>45604</v>
      </c>
      <c r="E5" s="21" t="s">
        <v>23</v>
      </c>
      <c r="F5" s="9"/>
    </row>
    <row r="6" spans="2:6" hidden="1" x14ac:dyDescent="0.3">
      <c r="B6" s="124">
        <v>3</v>
      </c>
      <c r="C6" s="61" t="s">
        <v>130</v>
      </c>
      <c r="D6" s="122">
        <v>45604</v>
      </c>
      <c r="E6" s="24" t="s">
        <v>27</v>
      </c>
      <c r="F6" s="16"/>
    </row>
    <row r="7" spans="2:6" hidden="1" x14ac:dyDescent="0.3">
      <c r="B7" s="125"/>
      <c r="C7" s="61" t="s">
        <v>130</v>
      </c>
      <c r="D7" s="123"/>
      <c r="E7" s="24" t="s">
        <v>24</v>
      </c>
      <c r="F7" s="16"/>
    </row>
    <row r="8" spans="2:6" hidden="1" x14ac:dyDescent="0.3">
      <c r="B8" s="32">
        <v>4</v>
      </c>
      <c r="C8" s="61" t="s">
        <v>130</v>
      </c>
      <c r="D8" s="13">
        <v>45604</v>
      </c>
      <c r="E8" s="24" t="s">
        <v>25</v>
      </c>
      <c r="F8" s="16"/>
    </row>
    <row r="9" spans="2:6" hidden="1" x14ac:dyDescent="0.3">
      <c r="B9" s="32">
        <v>5</v>
      </c>
      <c r="C9" s="61" t="s">
        <v>130</v>
      </c>
      <c r="D9" s="13">
        <v>45607</v>
      </c>
      <c r="E9" s="24" t="s">
        <v>26</v>
      </c>
      <c r="F9" s="16"/>
    </row>
    <row r="10" spans="2:6" hidden="1" x14ac:dyDescent="0.3">
      <c r="B10" s="32">
        <v>6</v>
      </c>
      <c r="C10" s="61" t="s">
        <v>130</v>
      </c>
      <c r="D10" s="13">
        <v>45607</v>
      </c>
      <c r="E10" s="26" t="s">
        <v>28</v>
      </c>
      <c r="F10" s="16"/>
    </row>
    <row r="11" spans="2:6" hidden="1" x14ac:dyDescent="0.3">
      <c r="B11" s="32">
        <v>7</v>
      </c>
      <c r="C11" s="61" t="s">
        <v>130</v>
      </c>
      <c r="D11" s="13">
        <v>45607</v>
      </c>
      <c r="E11" s="24" t="s">
        <v>29</v>
      </c>
      <c r="F11" s="16"/>
    </row>
    <row r="12" spans="2:6" hidden="1" x14ac:dyDescent="0.3">
      <c r="B12" s="32">
        <v>8</v>
      </c>
      <c r="C12" s="61" t="s">
        <v>130</v>
      </c>
      <c r="D12" s="13">
        <v>45609</v>
      </c>
      <c r="E12" s="24" t="s">
        <v>30</v>
      </c>
      <c r="F12" s="16"/>
    </row>
    <row r="13" spans="2:6" hidden="1" x14ac:dyDescent="0.3">
      <c r="B13" s="32">
        <v>9</v>
      </c>
      <c r="C13" s="61" t="s">
        <v>130</v>
      </c>
      <c r="D13" s="13">
        <v>45610</v>
      </c>
      <c r="E13" s="27" t="s">
        <v>31</v>
      </c>
      <c r="F13" s="16" t="s">
        <v>35</v>
      </c>
    </row>
    <row r="14" spans="2:6" hidden="1" x14ac:dyDescent="0.3">
      <c r="B14" s="32">
        <v>10</v>
      </c>
      <c r="C14" s="61" t="s">
        <v>130</v>
      </c>
      <c r="D14" s="13">
        <v>45613</v>
      </c>
      <c r="E14" s="27" t="s">
        <v>32</v>
      </c>
      <c r="F14" s="16" t="s">
        <v>33</v>
      </c>
    </row>
    <row r="15" spans="2:6" hidden="1" x14ac:dyDescent="0.3">
      <c r="B15" s="32">
        <v>11</v>
      </c>
      <c r="C15" s="61" t="s">
        <v>130</v>
      </c>
      <c r="D15" s="13">
        <v>45613</v>
      </c>
      <c r="E15" s="27" t="s">
        <v>34</v>
      </c>
      <c r="F15" s="16"/>
    </row>
    <row r="16" spans="2:6" ht="33" hidden="1" x14ac:dyDescent="0.3">
      <c r="B16" s="32">
        <v>12</v>
      </c>
      <c r="C16" s="61" t="s">
        <v>130</v>
      </c>
      <c r="D16" s="13">
        <v>45615</v>
      </c>
      <c r="E16" s="42" t="s">
        <v>52</v>
      </c>
      <c r="F16" s="29" t="s">
        <v>53</v>
      </c>
    </row>
    <row r="17" spans="2:6" hidden="1" x14ac:dyDescent="0.3">
      <c r="B17" s="32">
        <v>13</v>
      </c>
      <c r="C17" s="61" t="s">
        <v>130</v>
      </c>
      <c r="D17" s="13">
        <v>45615</v>
      </c>
      <c r="E17" s="24" t="s">
        <v>36</v>
      </c>
      <c r="F17" s="16" t="s">
        <v>79</v>
      </c>
    </row>
    <row r="18" spans="2:6" hidden="1" x14ac:dyDescent="0.3">
      <c r="B18" s="32">
        <v>14</v>
      </c>
      <c r="C18" s="61" t="s">
        <v>130</v>
      </c>
      <c r="D18" s="13">
        <v>45615</v>
      </c>
      <c r="E18" s="24" t="s">
        <v>41</v>
      </c>
      <c r="F18" s="16" t="s">
        <v>42</v>
      </c>
    </row>
    <row r="19" spans="2:6" hidden="1" x14ac:dyDescent="0.3">
      <c r="B19" s="32">
        <v>15</v>
      </c>
      <c r="C19" s="61" t="s">
        <v>130</v>
      </c>
      <c r="D19" s="13">
        <v>45615</v>
      </c>
      <c r="E19" s="24" t="s">
        <v>45</v>
      </c>
      <c r="F19" s="16"/>
    </row>
    <row r="20" spans="2:6" hidden="1" x14ac:dyDescent="0.3">
      <c r="B20" s="32">
        <v>16</v>
      </c>
      <c r="C20" s="61" t="s">
        <v>130</v>
      </c>
      <c r="D20" s="13">
        <v>45615</v>
      </c>
      <c r="E20" s="26" t="s">
        <v>37</v>
      </c>
      <c r="F20" s="16" t="s">
        <v>38</v>
      </c>
    </row>
    <row r="21" spans="2:6" hidden="1" x14ac:dyDescent="0.3">
      <c r="B21" s="32">
        <v>17</v>
      </c>
      <c r="C21" s="61" t="s">
        <v>130</v>
      </c>
      <c r="D21" s="13">
        <v>45615</v>
      </c>
      <c r="E21" s="27" t="s">
        <v>39</v>
      </c>
      <c r="F21" s="16" t="s">
        <v>43</v>
      </c>
    </row>
    <row r="22" spans="2:6" hidden="1" x14ac:dyDescent="0.3">
      <c r="B22" s="32">
        <v>18</v>
      </c>
      <c r="C22" s="61" t="s">
        <v>130</v>
      </c>
      <c r="D22" s="13">
        <v>45615</v>
      </c>
      <c r="E22" s="27" t="s">
        <v>40</v>
      </c>
      <c r="F22" s="16"/>
    </row>
    <row r="23" spans="2:6" hidden="1" x14ac:dyDescent="0.3">
      <c r="B23" s="32">
        <v>19</v>
      </c>
      <c r="C23" s="61" t="s">
        <v>130</v>
      </c>
      <c r="D23" s="13">
        <v>45615</v>
      </c>
      <c r="E23" s="27" t="s">
        <v>44</v>
      </c>
      <c r="F23" s="16" t="s">
        <v>56</v>
      </c>
    </row>
    <row r="24" spans="2:6" ht="33" hidden="1" x14ac:dyDescent="0.3">
      <c r="B24" s="32">
        <v>20</v>
      </c>
      <c r="C24" s="61" t="s">
        <v>130</v>
      </c>
      <c r="D24" s="25">
        <v>45617</v>
      </c>
      <c r="E24" s="28" t="s">
        <v>50</v>
      </c>
      <c r="F24" s="16" t="s">
        <v>47</v>
      </c>
    </row>
    <row r="25" spans="2:6" hidden="1" x14ac:dyDescent="0.3">
      <c r="B25" s="32">
        <v>21</v>
      </c>
      <c r="C25" s="61" t="s">
        <v>130</v>
      </c>
      <c r="D25" s="25">
        <v>45617</v>
      </c>
      <c r="E25" s="27" t="s">
        <v>46</v>
      </c>
      <c r="F25" s="16" t="s">
        <v>48</v>
      </c>
    </row>
    <row r="26" spans="2:6" hidden="1" x14ac:dyDescent="0.3">
      <c r="B26" s="32">
        <v>22</v>
      </c>
      <c r="C26" s="61" t="s">
        <v>130</v>
      </c>
      <c r="D26" s="25">
        <v>45617</v>
      </c>
      <c r="E26" s="26" t="s">
        <v>81</v>
      </c>
      <c r="F26" s="16"/>
    </row>
    <row r="27" spans="2:6" ht="33" hidden="1" x14ac:dyDescent="0.3">
      <c r="B27" s="32">
        <v>23</v>
      </c>
      <c r="C27" s="61" t="s">
        <v>130</v>
      </c>
      <c r="D27" s="25">
        <v>45617</v>
      </c>
      <c r="E27" s="28" t="s">
        <v>51</v>
      </c>
      <c r="F27" s="29" t="s">
        <v>55</v>
      </c>
    </row>
    <row r="28" spans="2:6" hidden="1" x14ac:dyDescent="0.3">
      <c r="B28" s="32">
        <v>24</v>
      </c>
      <c r="C28" s="61" t="s">
        <v>130</v>
      </c>
      <c r="D28" s="25">
        <v>45617</v>
      </c>
      <c r="E28" s="27" t="s">
        <v>49</v>
      </c>
      <c r="F28" s="16"/>
    </row>
    <row r="29" spans="2:6" hidden="1" x14ac:dyDescent="0.3">
      <c r="B29" s="32">
        <v>25</v>
      </c>
      <c r="C29" s="61" t="s">
        <v>130</v>
      </c>
      <c r="D29" s="25">
        <v>45617</v>
      </c>
      <c r="E29" s="27" t="s">
        <v>54</v>
      </c>
      <c r="F29" s="16" t="s">
        <v>80</v>
      </c>
    </row>
    <row r="30" spans="2:6" hidden="1" x14ac:dyDescent="0.3">
      <c r="B30" s="32">
        <v>26</v>
      </c>
      <c r="C30" s="61" t="s">
        <v>130</v>
      </c>
      <c r="D30" s="25">
        <v>45621</v>
      </c>
      <c r="E30" s="27" t="s">
        <v>57</v>
      </c>
      <c r="F30" s="16"/>
    </row>
    <row r="31" spans="2:6" hidden="1" x14ac:dyDescent="0.3">
      <c r="B31" s="32">
        <v>27</v>
      </c>
      <c r="C31" s="61" t="s">
        <v>130</v>
      </c>
      <c r="D31" s="25">
        <v>45621</v>
      </c>
      <c r="E31" s="27" t="s">
        <v>58</v>
      </c>
      <c r="F31" s="16"/>
    </row>
    <row r="32" spans="2:6" hidden="1" x14ac:dyDescent="0.3">
      <c r="B32" s="32">
        <v>28</v>
      </c>
      <c r="C32" s="61" t="s">
        <v>130</v>
      </c>
      <c r="D32" s="37">
        <v>45636</v>
      </c>
      <c r="E32" s="54" t="s">
        <v>59</v>
      </c>
      <c r="F32" s="16" t="s">
        <v>111</v>
      </c>
    </row>
    <row r="33" spans="2:6" hidden="1" x14ac:dyDescent="0.3">
      <c r="B33" s="32">
        <v>29</v>
      </c>
      <c r="C33" s="61" t="s">
        <v>130</v>
      </c>
      <c r="D33" s="25">
        <v>45638</v>
      </c>
      <c r="E33" s="27" t="s">
        <v>60</v>
      </c>
      <c r="F33" s="16"/>
    </row>
    <row r="34" spans="2:6" hidden="1" x14ac:dyDescent="0.3">
      <c r="B34" s="32">
        <v>30</v>
      </c>
      <c r="C34" s="61" t="s">
        <v>130</v>
      </c>
      <c r="D34" s="25">
        <v>45639</v>
      </c>
      <c r="E34" s="27" t="s">
        <v>61</v>
      </c>
      <c r="F34" s="16"/>
    </row>
    <row r="35" spans="2:6" hidden="1" x14ac:dyDescent="0.3">
      <c r="B35" s="32">
        <v>31</v>
      </c>
      <c r="C35" s="61" t="s">
        <v>130</v>
      </c>
      <c r="D35" s="25">
        <v>45639</v>
      </c>
      <c r="E35" s="27" t="s">
        <v>62</v>
      </c>
      <c r="F35" s="16" t="s">
        <v>82</v>
      </c>
    </row>
    <row r="36" spans="2:6" ht="33" hidden="1" x14ac:dyDescent="0.3">
      <c r="B36" s="32">
        <v>32</v>
      </c>
      <c r="C36" s="61" t="s">
        <v>130</v>
      </c>
      <c r="D36" s="25">
        <v>45640</v>
      </c>
      <c r="E36" s="30" t="s">
        <v>63</v>
      </c>
      <c r="F36" s="16"/>
    </row>
    <row r="37" spans="2:6" ht="17.25" hidden="1" thickBot="1" x14ac:dyDescent="0.35">
      <c r="B37" s="32">
        <v>33</v>
      </c>
      <c r="C37" s="61" t="s">
        <v>130</v>
      </c>
      <c r="D37" s="25">
        <v>45646</v>
      </c>
      <c r="E37" s="27" t="s">
        <v>64</v>
      </c>
      <c r="F37" s="16"/>
    </row>
    <row r="38" spans="2:6" ht="25.5" hidden="1" customHeight="1" thickTop="1" thickBot="1" x14ac:dyDescent="0.35">
      <c r="B38" s="56"/>
      <c r="C38" s="63"/>
      <c r="D38" s="128" t="s">
        <v>67</v>
      </c>
      <c r="E38" s="128"/>
      <c r="F38" s="129"/>
    </row>
    <row r="39" spans="2:6" ht="17.25" hidden="1" thickTop="1" x14ac:dyDescent="0.3">
      <c r="B39" s="40">
        <v>1</v>
      </c>
      <c r="C39" s="61" t="s">
        <v>130</v>
      </c>
      <c r="D39" s="34">
        <v>45671</v>
      </c>
      <c r="E39" s="35" t="s">
        <v>65</v>
      </c>
      <c r="F39" s="36"/>
    </row>
    <row r="40" spans="2:6" ht="33" hidden="1" x14ac:dyDescent="0.3">
      <c r="B40" s="32">
        <v>2</v>
      </c>
      <c r="C40" s="61" t="s">
        <v>130</v>
      </c>
      <c r="D40" s="25">
        <v>45671</v>
      </c>
      <c r="E40" s="28" t="s">
        <v>68</v>
      </c>
      <c r="F40" s="16"/>
    </row>
    <row r="41" spans="2:6" hidden="1" x14ac:dyDescent="0.3">
      <c r="B41" s="32">
        <v>3</v>
      </c>
      <c r="C41" s="61" t="s">
        <v>130</v>
      </c>
      <c r="D41" s="25">
        <v>45671</v>
      </c>
      <c r="E41" s="27" t="s">
        <v>69</v>
      </c>
      <c r="F41" s="16"/>
    </row>
    <row r="42" spans="2:6" hidden="1" x14ac:dyDescent="0.3">
      <c r="B42" s="32">
        <v>4</v>
      </c>
      <c r="C42" s="61" t="s">
        <v>130</v>
      </c>
      <c r="D42" s="25">
        <v>45671</v>
      </c>
      <c r="E42" s="27" t="s">
        <v>70</v>
      </c>
      <c r="F42" s="16"/>
    </row>
    <row r="43" spans="2:6" hidden="1" x14ac:dyDescent="0.3">
      <c r="B43" s="32">
        <v>5</v>
      </c>
      <c r="C43" s="61" t="s">
        <v>130</v>
      </c>
      <c r="D43" s="25">
        <v>45671</v>
      </c>
      <c r="E43" s="27" t="s">
        <v>71</v>
      </c>
      <c r="F43" s="16"/>
    </row>
    <row r="44" spans="2:6" hidden="1" x14ac:dyDescent="0.3">
      <c r="B44" s="32">
        <v>6</v>
      </c>
      <c r="C44" s="61" t="s">
        <v>130</v>
      </c>
      <c r="D44" s="25">
        <v>45671</v>
      </c>
      <c r="E44" s="27" t="s">
        <v>72</v>
      </c>
      <c r="F44" s="16"/>
    </row>
    <row r="45" spans="2:6" hidden="1" x14ac:dyDescent="0.3">
      <c r="B45" s="32">
        <v>7</v>
      </c>
      <c r="C45" s="61" t="s">
        <v>130</v>
      </c>
      <c r="D45" s="25">
        <v>45673</v>
      </c>
      <c r="E45" s="27" t="s">
        <v>73</v>
      </c>
      <c r="F45" s="16"/>
    </row>
    <row r="46" spans="2:6" hidden="1" x14ac:dyDescent="0.3">
      <c r="B46" s="32">
        <v>8</v>
      </c>
      <c r="C46" s="61" t="s">
        <v>130</v>
      </c>
      <c r="D46" s="13">
        <v>45673</v>
      </c>
      <c r="E46" s="52" t="s">
        <v>74</v>
      </c>
      <c r="F46" s="16" t="s">
        <v>75</v>
      </c>
    </row>
    <row r="47" spans="2:6" hidden="1" x14ac:dyDescent="0.3">
      <c r="B47" s="32">
        <v>9</v>
      </c>
      <c r="C47" s="61" t="s">
        <v>130</v>
      </c>
      <c r="D47" s="31">
        <v>45673</v>
      </c>
      <c r="E47" s="27" t="s">
        <v>76</v>
      </c>
      <c r="F47" s="16"/>
    </row>
    <row r="48" spans="2:6" hidden="1" x14ac:dyDescent="0.3">
      <c r="B48" s="32">
        <v>10</v>
      </c>
      <c r="C48" s="61" t="s">
        <v>130</v>
      </c>
      <c r="D48" s="31">
        <v>45678</v>
      </c>
      <c r="E48" s="27" t="s">
        <v>77</v>
      </c>
      <c r="F48" s="16"/>
    </row>
    <row r="49" spans="2:6" hidden="1" x14ac:dyDescent="0.3">
      <c r="B49" s="32">
        <v>11</v>
      </c>
      <c r="C49" s="61" t="s">
        <v>130</v>
      </c>
      <c r="D49" s="31">
        <v>45679</v>
      </c>
      <c r="E49" s="48" t="s">
        <v>78</v>
      </c>
      <c r="F49" s="16"/>
    </row>
    <row r="50" spans="2:6" hidden="1" x14ac:dyDescent="0.3">
      <c r="B50" s="32">
        <v>12</v>
      </c>
      <c r="C50" s="61" t="s">
        <v>130</v>
      </c>
      <c r="D50" s="31">
        <v>45680</v>
      </c>
      <c r="E50" s="48" t="s">
        <v>83</v>
      </c>
      <c r="F50" s="16" t="s">
        <v>93</v>
      </c>
    </row>
    <row r="51" spans="2:6" ht="49.5" hidden="1" x14ac:dyDescent="0.3">
      <c r="B51" s="32">
        <v>13</v>
      </c>
      <c r="C51" s="61" t="s">
        <v>130</v>
      </c>
      <c r="D51" s="31">
        <v>45681</v>
      </c>
      <c r="E51" s="28" t="s">
        <v>84</v>
      </c>
      <c r="F51" s="16"/>
    </row>
    <row r="52" spans="2:6" hidden="1" x14ac:dyDescent="0.3">
      <c r="B52" s="32">
        <v>14</v>
      </c>
      <c r="C52" s="61" t="s">
        <v>130</v>
      </c>
      <c r="D52" s="31">
        <v>45681</v>
      </c>
      <c r="E52" s="27" t="s">
        <v>85</v>
      </c>
      <c r="F52" s="16"/>
    </row>
    <row r="53" spans="2:6" ht="66" hidden="1" x14ac:dyDescent="0.3">
      <c r="B53" s="32">
        <v>15</v>
      </c>
      <c r="C53" s="61" t="s">
        <v>130</v>
      </c>
      <c r="D53" s="31">
        <v>45681</v>
      </c>
      <c r="E53" s="53" t="s">
        <v>86</v>
      </c>
      <c r="F53" s="43" t="s">
        <v>87</v>
      </c>
    </row>
    <row r="54" spans="2:6" ht="33" hidden="1" x14ac:dyDescent="0.3">
      <c r="B54" s="32">
        <v>16</v>
      </c>
      <c r="C54" s="61" t="s">
        <v>130</v>
      </c>
      <c r="D54" s="31">
        <v>45692</v>
      </c>
      <c r="E54" s="28" t="s">
        <v>88</v>
      </c>
      <c r="F54" s="29" t="s">
        <v>94</v>
      </c>
    </row>
    <row r="55" spans="2:6" hidden="1" x14ac:dyDescent="0.3">
      <c r="B55" s="32">
        <v>17</v>
      </c>
      <c r="C55" s="61" t="s">
        <v>130</v>
      </c>
      <c r="D55" s="31">
        <v>45692</v>
      </c>
      <c r="E55" s="27" t="s">
        <v>89</v>
      </c>
      <c r="F55" s="16"/>
    </row>
    <row r="56" spans="2:6" hidden="1" x14ac:dyDescent="0.3">
      <c r="B56" s="32">
        <v>18</v>
      </c>
      <c r="C56" s="61" t="s">
        <v>130</v>
      </c>
      <c r="D56" s="31">
        <v>45692</v>
      </c>
      <c r="E56" s="27" t="s">
        <v>90</v>
      </c>
      <c r="F56" s="16" t="s">
        <v>91</v>
      </c>
    </row>
    <row r="57" spans="2:6" hidden="1" x14ac:dyDescent="0.3">
      <c r="B57" s="32">
        <v>19</v>
      </c>
      <c r="C57" s="61" t="s">
        <v>130</v>
      </c>
      <c r="D57" s="31">
        <v>45692</v>
      </c>
      <c r="E57" s="27" t="s">
        <v>92</v>
      </c>
      <c r="F57" s="16"/>
    </row>
    <row r="58" spans="2:6" hidden="1" x14ac:dyDescent="0.3">
      <c r="B58" s="32">
        <v>20</v>
      </c>
      <c r="C58" s="61" t="s">
        <v>130</v>
      </c>
      <c r="D58" s="31">
        <v>45695</v>
      </c>
      <c r="E58" s="59" t="s">
        <v>106</v>
      </c>
      <c r="F58" s="16" t="s">
        <v>107</v>
      </c>
    </row>
    <row r="59" spans="2:6" hidden="1" x14ac:dyDescent="0.3">
      <c r="B59" s="32">
        <v>21</v>
      </c>
      <c r="C59" s="61" t="s">
        <v>130</v>
      </c>
      <c r="D59" s="31">
        <v>45695</v>
      </c>
      <c r="E59" s="27" t="s">
        <v>108</v>
      </c>
      <c r="F59" s="16" t="s">
        <v>119</v>
      </c>
    </row>
    <row r="60" spans="2:6" hidden="1" x14ac:dyDescent="0.3">
      <c r="B60" s="32">
        <v>22</v>
      </c>
      <c r="C60" s="61" t="s">
        <v>130</v>
      </c>
      <c r="D60" s="31">
        <v>45695</v>
      </c>
      <c r="E60" s="59" t="s">
        <v>109</v>
      </c>
      <c r="F60" s="16" t="s">
        <v>110</v>
      </c>
    </row>
    <row r="61" spans="2:6" hidden="1" x14ac:dyDescent="0.3">
      <c r="B61" s="45">
        <v>23</v>
      </c>
      <c r="C61" s="61" t="s">
        <v>130</v>
      </c>
      <c r="D61" s="44">
        <v>45695</v>
      </c>
      <c r="E61" s="26" t="s">
        <v>112</v>
      </c>
      <c r="F61" s="16"/>
    </row>
    <row r="62" spans="2:6" ht="49.5" hidden="1" x14ac:dyDescent="0.3">
      <c r="B62" s="45">
        <v>24</v>
      </c>
      <c r="C62" s="61" t="s">
        <v>130</v>
      </c>
      <c r="D62" s="44">
        <v>45699</v>
      </c>
      <c r="E62" s="28" t="s">
        <v>113</v>
      </c>
      <c r="F62" s="29" t="s">
        <v>115</v>
      </c>
    </row>
    <row r="63" spans="2:6" hidden="1" x14ac:dyDescent="0.3">
      <c r="B63" s="45">
        <v>25</v>
      </c>
      <c r="C63" s="61" t="s">
        <v>130</v>
      </c>
      <c r="D63" s="44">
        <v>45699</v>
      </c>
      <c r="E63" s="27" t="s">
        <v>114</v>
      </c>
      <c r="F63" s="16"/>
    </row>
    <row r="64" spans="2:6" hidden="1" x14ac:dyDescent="0.3">
      <c r="B64" s="45">
        <v>26</v>
      </c>
      <c r="C64" s="61" t="s">
        <v>130</v>
      </c>
      <c r="D64" s="44">
        <v>45699</v>
      </c>
      <c r="E64" s="26" t="s">
        <v>116</v>
      </c>
      <c r="F64" s="16"/>
    </row>
    <row r="65" spans="2:6" hidden="1" x14ac:dyDescent="0.3">
      <c r="B65" s="32">
        <v>27</v>
      </c>
      <c r="C65" s="61" t="s">
        <v>130</v>
      </c>
      <c r="D65" s="31">
        <v>45699</v>
      </c>
      <c r="E65" s="26" t="s">
        <v>117</v>
      </c>
      <c r="F65" s="16"/>
    </row>
    <row r="66" spans="2:6" hidden="1" x14ac:dyDescent="0.3">
      <c r="B66" s="32">
        <v>28</v>
      </c>
      <c r="C66" s="61" t="s">
        <v>130</v>
      </c>
      <c r="D66" s="31">
        <v>45699</v>
      </c>
      <c r="E66" s="26" t="s">
        <v>118</v>
      </c>
      <c r="F66" s="16"/>
    </row>
    <row r="67" spans="2:6" hidden="1" x14ac:dyDescent="0.3">
      <c r="B67" s="45">
        <v>29</v>
      </c>
      <c r="C67" s="61" t="s">
        <v>130</v>
      </c>
      <c r="D67" s="44">
        <v>45706</v>
      </c>
      <c r="E67" s="59" t="s">
        <v>120</v>
      </c>
      <c r="F67" s="16" t="s">
        <v>121</v>
      </c>
    </row>
    <row r="68" spans="2:6" hidden="1" x14ac:dyDescent="0.3">
      <c r="B68" s="45">
        <v>30</v>
      </c>
      <c r="C68" s="61" t="s">
        <v>130</v>
      </c>
      <c r="D68" s="44">
        <v>45706</v>
      </c>
      <c r="E68" s="59" t="s">
        <v>122</v>
      </c>
      <c r="F68" s="16"/>
    </row>
    <row r="69" spans="2:6" hidden="1" x14ac:dyDescent="0.3">
      <c r="B69" s="45">
        <v>31</v>
      </c>
      <c r="C69" s="61" t="s">
        <v>130</v>
      </c>
      <c r="D69" s="44">
        <v>45706</v>
      </c>
      <c r="E69" s="26" t="s">
        <v>123</v>
      </c>
      <c r="F69" s="16"/>
    </row>
    <row r="70" spans="2:6" hidden="1" x14ac:dyDescent="0.3">
      <c r="B70" s="45">
        <v>32</v>
      </c>
      <c r="C70" s="61" t="s">
        <v>130</v>
      </c>
      <c r="D70" s="44">
        <v>45706</v>
      </c>
      <c r="E70" s="26" t="s">
        <v>124</v>
      </c>
      <c r="F70" s="16"/>
    </row>
    <row r="71" spans="2:6" hidden="1" x14ac:dyDescent="0.3">
      <c r="B71" s="45">
        <v>33</v>
      </c>
      <c r="C71" s="61" t="s">
        <v>130</v>
      </c>
      <c r="D71" s="44">
        <v>45706</v>
      </c>
      <c r="E71" s="26" t="s">
        <v>125</v>
      </c>
      <c r="F71" s="16"/>
    </row>
    <row r="72" spans="2:6" hidden="1" x14ac:dyDescent="0.3">
      <c r="B72" s="45">
        <v>34</v>
      </c>
      <c r="C72" s="61" t="s">
        <v>130</v>
      </c>
      <c r="D72" s="44">
        <v>45706</v>
      </c>
      <c r="E72" s="26" t="s">
        <v>126</v>
      </c>
      <c r="F72" s="16"/>
    </row>
    <row r="73" spans="2:6" ht="33" hidden="1" x14ac:dyDescent="0.3">
      <c r="B73" s="45">
        <v>35</v>
      </c>
      <c r="C73" s="61" t="s">
        <v>130</v>
      </c>
      <c r="D73" s="44">
        <v>45707</v>
      </c>
      <c r="E73" s="30" t="s">
        <v>127</v>
      </c>
      <c r="F73" s="16"/>
    </row>
    <row r="74" spans="2:6" hidden="1" x14ac:dyDescent="0.3">
      <c r="B74" s="45">
        <v>36</v>
      </c>
      <c r="C74" s="61" t="s">
        <v>130</v>
      </c>
      <c r="D74" s="44">
        <v>45707</v>
      </c>
      <c r="E74" s="26" t="s">
        <v>128</v>
      </c>
      <c r="F74" s="16"/>
    </row>
    <row r="75" spans="2:6" hidden="1" x14ac:dyDescent="0.3">
      <c r="B75" s="45">
        <v>37</v>
      </c>
      <c r="C75" s="61" t="s">
        <v>130</v>
      </c>
      <c r="D75" s="44">
        <v>45707</v>
      </c>
      <c r="E75" s="26" t="s">
        <v>129</v>
      </c>
      <c r="F75" s="16"/>
    </row>
    <row r="76" spans="2:6" x14ac:dyDescent="0.3">
      <c r="B76" s="45">
        <v>38</v>
      </c>
      <c r="C76" s="62" t="s">
        <v>131</v>
      </c>
      <c r="D76" s="44">
        <v>45730</v>
      </c>
      <c r="E76" s="59" t="s">
        <v>132</v>
      </c>
      <c r="F76" s="16"/>
    </row>
    <row r="77" spans="2:6" x14ac:dyDescent="0.3">
      <c r="B77" s="58">
        <v>39</v>
      </c>
      <c r="C77" s="62" t="s">
        <v>131</v>
      </c>
      <c r="D77" s="57">
        <v>45730</v>
      </c>
      <c r="E77" s="59" t="s">
        <v>133</v>
      </c>
      <c r="F77" s="16" t="s">
        <v>137</v>
      </c>
    </row>
    <row r="78" spans="2:6" x14ac:dyDescent="0.3">
      <c r="B78" s="58">
        <v>40</v>
      </c>
      <c r="C78" s="62" t="s">
        <v>131</v>
      </c>
      <c r="D78" s="57">
        <v>45730</v>
      </c>
      <c r="E78" s="59" t="s">
        <v>134</v>
      </c>
      <c r="F78" s="16"/>
    </row>
    <row r="79" spans="2:6" x14ac:dyDescent="0.3">
      <c r="B79" s="58">
        <v>41</v>
      </c>
      <c r="C79" s="62" t="s">
        <v>131</v>
      </c>
      <c r="D79" s="57">
        <v>45730</v>
      </c>
      <c r="E79" s="59" t="s">
        <v>135</v>
      </c>
      <c r="F79" s="16"/>
    </row>
    <row r="80" spans="2:6" x14ac:dyDescent="0.3">
      <c r="B80" s="58">
        <v>42</v>
      </c>
      <c r="C80" s="62" t="s">
        <v>131</v>
      </c>
      <c r="D80" s="57">
        <v>45730</v>
      </c>
      <c r="E80" s="59" t="s">
        <v>136</v>
      </c>
      <c r="F80" s="16"/>
    </row>
    <row r="81" spans="2:6" x14ac:dyDescent="0.3">
      <c r="B81" s="58">
        <v>43</v>
      </c>
      <c r="C81" s="62" t="s">
        <v>131</v>
      </c>
      <c r="D81" s="57">
        <v>45730</v>
      </c>
      <c r="E81" s="59" t="s">
        <v>138</v>
      </c>
      <c r="F81" s="16"/>
    </row>
    <row r="82" spans="2:6" x14ac:dyDescent="0.3">
      <c r="B82" s="47">
        <v>44</v>
      </c>
      <c r="C82" s="62" t="s">
        <v>131</v>
      </c>
      <c r="D82" s="46">
        <v>45730</v>
      </c>
      <c r="E82" s="59" t="s">
        <v>139</v>
      </c>
      <c r="F82" s="16"/>
    </row>
    <row r="83" spans="2:6" x14ac:dyDescent="0.3">
      <c r="B83" s="47">
        <v>45</v>
      </c>
      <c r="C83" s="62" t="s">
        <v>140</v>
      </c>
      <c r="D83" s="46">
        <v>45733</v>
      </c>
      <c r="E83" s="59" t="s">
        <v>141</v>
      </c>
      <c r="F83" s="16"/>
    </row>
    <row r="84" spans="2:6" ht="33" x14ac:dyDescent="0.3">
      <c r="B84" s="47">
        <v>46</v>
      </c>
      <c r="C84" s="62" t="s">
        <v>140</v>
      </c>
      <c r="D84" s="46">
        <v>45733</v>
      </c>
      <c r="E84" s="65" t="s">
        <v>142</v>
      </c>
      <c r="F84" s="16"/>
    </row>
    <row r="85" spans="2:6" x14ac:dyDescent="0.3">
      <c r="B85" s="47">
        <v>47</v>
      </c>
      <c r="C85" s="62" t="s">
        <v>143</v>
      </c>
      <c r="D85" s="46">
        <v>45743</v>
      </c>
      <c r="E85" s="59" t="s">
        <v>151</v>
      </c>
      <c r="F85" s="16"/>
    </row>
    <row r="86" spans="2:6" ht="33" x14ac:dyDescent="0.3">
      <c r="B86" s="47">
        <v>48</v>
      </c>
      <c r="C86" s="62" t="s">
        <v>143</v>
      </c>
      <c r="D86" s="46">
        <v>45743</v>
      </c>
      <c r="E86" s="83" t="s">
        <v>144</v>
      </c>
      <c r="F86" s="82" t="s">
        <v>215</v>
      </c>
    </row>
    <row r="87" spans="2:6" x14ac:dyDescent="0.3">
      <c r="B87" s="47">
        <v>49</v>
      </c>
      <c r="C87" s="62" t="s">
        <v>143</v>
      </c>
      <c r="D87" s="46">
        <v>45743</v>
      </c>
      <c r="E87" s="27" t="s">
        <v>145</v>
      </c>
      <c r="F87" s="16"/>
    </row>
    <row r="88" spans="2:6" x14ac:dyDescent="0.3">
      <c r="B88" s="47">
        <v>50</v>
      </c>
      <c r="C88" s="62" t="s">
        <v>143</v>
      </c>
      <c r="D88" s="46">
        <v>45743</v>
      </c>
      <c r="E88" s="27" t="s">
        <v>146</v>
      </c>
      <c r="F88" s="16"/>
    </row>
    <row r="89" spans="2:6" x14ac:dyDescent="0.3">
      <c r="B89" s="47">
        <v>51</v>
      </c>
      <c r="C89" s="62" t="s">
        <v>143</v>
      </c>
      <c r="D89" s="46">
        <v>45743</v>
      </c>
      <c r="E89" s="88" t="s">
        <v>147</v>
      </c>
      <c r="F89" s="71" t="s">
        <v>179</v>
      </c>
    </row>
    <row r="90" spans="2:6" x14ac:dyDescent="0.3">
      <c r="B90" s="47">
        <v>52</v>
      </c>
      <c r="C90" s="62" t="s">
        <v>148</v>
      </c>
      <c r="D90" s="46">
        <v>45755</v>
      </c>
      <c r="E90" s="27" t="s">
        <v>149</v>
      </c>
      <c r="F90" s="16" t="s">
        <v>150</v>
      </c>
    </row>
    <row r="91" spans="2:6" ht="33" x14ac:dyDescent="0.3">
      <c r="B91" s="47">
        <v>53</v>
      </c>
      <c r="C91" s="62" t="s">
        <v>148</v>
      </c>
      <c r="D91" s="46">
        <v>45755</v>
      </c>
      <c r="E91" s="28" t="s">
        <v>152</v>
      </c>
      <c r="F91" s="16" t="s">
        <v>153</v>
      </c>
    </row>
    <row r="92" spans="2:6" x14ac:dyDescent="0.3">
      <c r="B92" s="47">
        <v>54</v>
      </c>
      <c r="C92" s="62" t="s">
        <v>148</v>
      </c>
      <c r="D92" s="46">
        <v>45755</v>
      </c>
      <c r="E92" s="27" t="s">
        <v>154</v>
      </c>
      <c r="F92" s="16"/>
    </row>
    <row r="93" spans="2:6" x14ac:dyDescent="0.3">
      <c r="B93" s="47">
        <v>55</v>
      </c>
      <c r="C93" s="62" t="s">
        <v>148</v>
      </c>
      <c r="D93" s="46">
        <v>45755</v>
      </c>
      <c r="E93" s="27" t="s">
        <v>155</v>
      </c>
      <c r="F93" s="16"/>
    </row>
    <row r="94" spans="2:6" x14ac:dyDescent="0.3">
      <c r="B94" s="45">
        <v>56</v>
      </c>
      <c r="C94" s="62" t="s">
        <v>156</v>
      </c>
      <c r="D94" s="44">
        <v>45756</v>
      </c>
      <c r="E94" s="27" t="s">
        <v>157</v>
      </c>
      <c r="F94" s="16"/>
    </row>
    <row r="95" spans="2:6" x14ac:dyDescent="0.3">
      <c r="B95" s="45">
        <v>57</v>
      </c>
      <c r="C95" s="62" t="s">
        <v>156</v>
      </c>
      <c r="D95" s="44">
        <v>45756</v>
      </c>
      <c r="E95" s="59" t="s">
        <v>158</v>
      </c>
      <c r="F95" s="16" t="s">
        <v>162</v>
      </c>
    </row>
    <row r="96" spans="2:6" x14ac:dyDescent="0.3">
      <c r="B96" s="45">
        <v>58</v>
      </c>
      <c r="C96" s="62" t="s">
        <v>156</v>
      </c>
      <c r="D96" s="44">
        <v>45756</v>
      </c>
      <c r="E96" s="59" t="s">
        <v>159</v>
      </c>
      <c r="F96" s="16" t="s">
        <v>160</v>
      </c>
    </row>
    <row r="97" spans="2:6" x14ac:dyDescent="0.3">
      <c r="B97" s="45">
        <v>59</v>
      </c>
      <c r="C97" s="62" t="s">
        <v>156</v>
      </c>
      <c r="D97" s="44">
        <v>45756</v>
      </c>
      <c r="E97" s="59" t="s">
        <v>161</v>
      </c>
      <c r="F97" s="16"/>
    </row>
    <row r="98" spans="2:6" x14ac:dyDescent="0.3">
      <c r="B98" s="67">
        <v>60</v>
      </c>
      <c r="C98" s="79" t="s">
        <v>156</v>
      </c>
      <c r="D98" s="37">
        <v>45757</v>
      </c>
      <c r="E98" s="27" t="s">
        <v>163</v>
      </c>
      <c r="F98" s="16"/>
    </row>
    <row r="99" spans="2:6" x14ac:dyDescent="0.3">
      <c r="B99" s="67">
        <v>61</v>
      </c>
      <c r="C99" s="62" t="s">
        <v>156</v>
      </c>
      <c r="D99" s="66">
        <v>45757</v>
      </c>
      <c r="E99" s="27" t="s">
        <v>164</v>
      </c>
      <c r="F99" s="16"/>
    </row>
    <row r="100" spans="2:6" x14ac:dyDescent="0.3">
      <c r="B100" s="67">
        <v>62</v>
      </c>
      <c r="C100" s="62" t="s">
        <v>156</v>
      </c>
      <c r="D100" s="66">
        <v>45757</v>
      </c>
      <c r="E100" s="27" t="s">
        <v>165</v>
      </c>
      <c r="F100" s="16"/>
    </row>
    <row r="101" spans="2:6" ht="33" x14ac:dyDescent="0.3">
      <c r="B101" s="67">
        <v>63</v>
      </c>
      <c r="C101" s="62" t="s">
        <v>156</v>
      </c>
      <c r="D101" s="66">
        <v>45757</v>
      </c>
      <c r="E101" s="28" t="s">
        <v>169</v>
      </c>
      <c r="F101" s="82" t="s">
        <v>168</v>
      </c>
    </row>
    <row r="102" spans="2:6" x14ac:dyDescent="0.3">
      <c r="B102" s="67">
        <v>64</v>
      </c>
      <c r="C102" s="62" t="s">
        <v>156</v>
      </c>
      <c r="D102" s="66">
        <v>45757</v>
      </c>
      <c r="E102" s="59" t="s">
        <v>166</v>
      </c>
      <c r="F102" s="16"/>
    </row>
    <row r="103" spans="2:6" x14ac:dyDescent="0.3">
      <c r="B103" s="67">
        <v>65</v>
      </c>
      <c r="C103" s="62" t="s">
        <v>156</v>
      </c>
      <c r="D103" s="66">
        <v>45757</v>
      </c>
      <c r="E103" s="27" t="s">
        <v>167</v>
      </c>
      <c r="F103" s="16"/>
    </row>
    <row r="104" spans="2:6" ht="33" x14ac:dyDescent="0.3">
      <c r="B104" s="69">
        <v>66</v>
      </c>
      <c r="C104" s="62" t="s">
        <v>131</v>
      </c>
      <c r="D104" s="66">
        <v>45757</v>
      </c>
      <c r="E104" s="65" t="s">
        <v>170</v>
      </c>
      <c r="F104" s="71" t="s">
        <v>235</v>
      </c>
    </row>
    <row r="105" spans="2:6" x14ac:dyDescent="0.3">
      <c r="B105" s="69">
        <v>67</v>
      </c>
      <c r="C105" s="62" t="s">
        <v>131</v>
      </c>
      <c r="D105" s="66">
        <v>45757</v>
      </c>
      <c r="E105" s="59" t="s">
        <v>171</v>
      </c>
      <c r="F105" s="16" t="s">
        <v>172</v>
      </c>
    </row>
    <row r="106" spans="2:6" ht="33" x14ac:dyDescent="0.3">
      <c r="B106" s="69">
        <v>68</v>
      </c>
      <c r="C106" s="62" t="s">
        <v>131</v>
      </c>
      <c r="D106" s="66">
        <v>45757</v>
      </c>
      <c r="E106" s="65" t="s">
        <v>173</v>
      </c>
      <c r="F106" s="16"/>
    </row>
    <row r="107" spans="2:6" x14ac:dyDescent="0.3">
      <c r="B107" s="69">
        <v>69</v>
      </c>
      <c r="C107" s="62" t="s">
        <v>131</v>
      </c>
      <c r="D107" s="66">
        <v>45758</v>
      </c>
      <c r="E107" s="80" t="s">
        <v>174</v>
      </c>
      <c r="F107" s="71" t="s">
        <v>179</v>
      </c>
    </row>
    <row r="108" spans="2:6" ht="33" x14ac:dyDescent="0.3">
      <c r="B108" s="69">
        <v>70</v>
      </c>
      <c r="C108" s="62" t="s">
        <v>131</v>
      </c>
      <c r="D108" s="66">
        <v>45758</v>
      </c>
      <c r="E108" s="80" t="s">
        <v>175</v>
      </c>
      <c r="F108" s="71" t="s">
        <v>179</v>
      </c>
    </row>
    <row r="109" spans="2:6" x14ac:dyDescent="0.3">
      <c r="B109" s="69">
        <v>71</v>
      </c>
      <c r="C109" s="62" t="s">
        <v>131</v>
      </c>
      <c r="D109" s="68">
        <v>45758</v>
      </c>
      <c r="E109" s="65" t="s">
        <v>176</v>
      </c>
      <c r="F109" s="16"/>
    </row>
    <row r="110" spans="2:6" x14ac:dyDescent="0.3">
      <c r="B110" s="69">
        <v>72</v>
      </c>
      <c r="C110" s="62" t="s">
        <v>131</v>
      </c>
      <c r="D110" s="68">
        <v>45758</v>
      </c>
      <c r="E110" s="65" t="s">
        <v>177</v>
      </c>
      <c r="F110" s="16"/>
    </row>
    <row r="111" spans="2:6" x14ac:dyDescent="0.3">
      <c r="B111" s="69">
        <v>73</v>
      </c>
      <c r="C111" s="62" t="s">
        <v>131</v>
      </c>
      <c r="D111" s="68">
        <v>45758</v>
      </c>
      <c r="E111" s="81" t="s">
        <v>214</v>
      </c>
      <c r="F111" s="91"/>
    </row>
    <row r="112" spans="2:6" ht="33.75" thickBot="1" x14ac:dyDescent="0.35">
      <c r="B112" s="69">
        <v>74</v>
      </c>
      <c r="C112" s="62" t="s">
        <v>131</v>
      </c>
      <c r="D112" s="68">
        <v>45758</v>
      </c>
      <c r="E112" s="80" t="s">
        <v>178</v>
      </c>
      <c r="F112" s="71" t="s">
        <v>236</v>
      </c>
    </row>
    <row r="113" spans="2:6" ht="18" thickTop="1" thickBot="1" x14ac:dyDescent="0.35">
      <c r="B113" s="56"/>
      <c r="C113" s="63"/>
      <c r="D113" s="128" t="s">
        <v>180</v>
      </c>
      <c r="E113" s="128"/>
      <c r="F113" s="129"/>
    </row>
    <row r="114" spans="2:6" ht="17.25" thickTop="1" x14ac:dyDescent="0.3">
      <c r="B114" s="67">
        <v>75</v>
      </c>
      <c r="C114" s="62" t="s">
        <v>181</v>
      </c>
      <c r="D114" s="66">
        <v>45841</v>
      </c>
      <c r="E114" s="28" t="s">
        <v>182</v>
      </c>
      <c r="F114" s="16"/>
    </row>
    <row r="115" spans="2:6" x14ac:dyDescent="0.3">
      <c r="B115" s="74">
        <v>76</v>
      </c>
      <c r="C115" s="62" t="s">
        <v>181</v>
      </c>
      <c r="D115" s="73">
        <v>45841</v>
      </c>
      <c r="E115" s="28" t="s">
        <v>183</v>
      </c>
      <c r="F115" s="16"/>
    </row>
    <row r="116" spans="2:6" x14ac:dyDescent="0.3">
      <c r="B116" s="74">
        <v>77</v>
      </c>
      <c r="C116" s="62" t="s">
        <v>181</v>
      </c>
      <c r="D116" s="73">
        <v>45841</v>
      </c>
      <c r="E116" s="28" t="s">
        <v>184</v>
      </c>
      <c r="F116" s="16"/>
    </row>
    <row r="117" spans="2:6" x14ac:dyDescent="0.3">
      <c r="B117" s="74">
        <v>78</v>
      </c>
      <c r="C117" s="62" t="s">
        <v>185</v>
      </c>
      <c r="D117" s="73">
        <v>45842</v>
      </c>
      <c r="E117" s="28" t="s">
        <v>186</v>
      </c>
      <c r="F117" s="16" t="s">
        <v>187</v>
      </c>
    </row>
    <row r="118" spans="2:6" x14ac:dyDescent="0.3">
      <c r="B118" s="74">
        <v>79</v>
      </c>
      <c r="C118" s="62" t="s">
        <v>185</v>
      </c>
      <c r="D118" s="73">
        <v>45842</v>
      </c>
      <c r="E118" s="28" t="s">
        <v>188</v>
      </c>
      <c r="F118" s="16" t="s">
        <v>189</v>
      </c>
    </row>
    <row r="119" spans="2:6" ht="33" x14ac:dyDescent="0.3">
      <c r="B119" s="74">
        <v>80</v>
      </c>
      <c r="C119" s="62" t="s">
        <v>185</v>
      </c>
      <c r="D119" s="73">
        <v>45842</v>
      </c>
      <c r="E119" s="28" t="s">
        <v>190</v>
      </c>
      <c r="F119" s="29" t="s">
        <v>191</v>
      </c>
    </row>
    <row r="120" spans="2:6" x14ac:dyDescent="0.3">
      <c r="B120" s="74">
        <v>81</v>
      </c>
      <c r="C120" s="62" t="s">
        <v>185</v>
      </c>
      <c r="D120" s="73">
        <v>45842</v>
      </c>
      <c r="E120" s="65" t="s">
        <v>192</v>
      </c>
      <c r="F120" s="16"/>
    </row>
    <row r="121" spans="2:6" x14ac:dyDescent="0.3">
      <c r="B121" s="74">
        <v>82</v>
      </c>
      <c r="C121" s="62" t="s">
        <v>185</v>
      </c>
      <c r="D121" s="73">
        <v>45842</v>
      </c>
      <c r="E121" s="65" t="s">
        <v>193</v>
      </c>
      <c r="F121" s="16"/>
    </row>
    <row r="122" spans="2:6" x14ac:dyDescent="0.3">
      <c r="B122" s="74">
        <v>83</v>
      </c>
      <c r="C122" s="62" t="s">
        <v>195</v>
      </c>
      <c r="D122" s="73">
        <v>45847</v>
      </c>
      <c r="E122" s="28" t="s">
        <v>194</v>
      </c>
      <c r="F122" s="16"/>
    </row>
    <row r="123" spans="2:6" ht="33" x14ac:dyDescent="0.3">
      <c r="B123" s="74">
        <v>84</v>
      </c>
      <c r="C123" s="62" t="s">
        <v>195</v>
      </c>
      <c r="D123" s="73">
        <v>45847</v>
      </c>
      <c r="E123" s="65" t="s">
        <v>208</v>
      </c>
      <c r="F123" s="16" t="s">
        <v>196</v>
      </c>
    </row>
    <row r="124" spans="2:6" x14ac:dyDescent="0.3">
      <c r="B124" s="74">
        <v>85</v>
      </c>
      <c r="C124" s="62" t="s">
        <v>198</v>
      </c>
      <c r="D124" s="73">
        <v>45848</v>
      </c>
      <c r="E124" s="65" t="s">
        <v>197</v>
      </c>
      <c r="F124" s="16" t="s">
        <v>206</v>
      </c>
    </row>
    <row r="125" spans="2:6" x14ac:dyDescent="0.3">
      <c r="B125" s="76">
        <v>86</v>
      </c>
      <c r="C125" s="62" t="s">
        <v>198</v>
      </c>
      <c r="D125" s="75">
        <v>45848</v>
      </c>
      <c r="E125" s="65" t="s">
        <v>199</v>
      </c>
      <c r="F125" s="16" t="s">
        <v>210</v>
      </c>
    </row>
    <row r="126" spans="2:6" x14ac:dyDescent="0.3">
      <c r="B126" s="76">
        <v>87</v>
      </c>
      <c r="C126" s="62" t="s">
        <v>198</v>
      </c>
      <c r="D126" s="73">
        <v>45849</v>
      </c>
      <c r="E126" s="65" t="s">
        <v>200</v>
      </c>
      <c r="F126" s="16" t="s">
        <v>206</v>
      </c>
    </row>
    <row r="127" spans="2:6" x14ac:dyDescent="0.3">
      <c r="B127" s="76">
        <v>88</v>
      </c>
      <c r="C127" s="62" t="s">
        <v>198</v>
      </c>
      <c r="D127" s="73">
        <v>45849</v>
      </c>
      <c r="E127" s="65" t="s">
        <v>201</v>
      </c>
      <c r="F127" s="16"/>
    </row>
    <row r="128" spans="2:6" x14ac:dyDescent="0.3">
      <c r="B128" s="78">
        <v>89</v>
      </c>
      <c r="C128" s="62" t="s">
        <v>131</v>
      </c>
      <c r="D128" s="73">
        <v>45849</v>
      </c>
      <c r="E128" s="65" t="s">
        <v>202</v>
      </c>
      <c r="F128" s="16" t="s">
        <v>207</v>
      </c>
    </row>
    <row r="129" spans="2:6" x14ac:dyDescent="0.3">
      <c r="B129" s="78">
        <v>90</v>
      </c>
      <c r="C129" s="62" t="s">
        <v>131</v>
      </c>
      <c r="D129" s="73">
        <v>45849</v>
      </c>
      <c r="E129" s="65" t="s">
        <v>203</v>
      </c>
      <c r="F129" s="16" t="s">
        <v>207</v>
      </c>
    </row>
    <row r="130" spans="2:6" x14ac:dyDescent="0.3">
      <c r="B130" s="78">
        <v>91</v>
      </c>
      <c r="C130" s="62" t="s">
        <v>131</v>
      </c>
      <c r="D130" s="73">
        <v>45849</v>
      </c>
      <c r="E130" s="65" t="s">
        <v>204</v>
      </c>
      <c r="F130" s="16" t="s">
        <v>207</v>
      </c>
    </row>
    <row r="131" spans="2:6" x14ac:dyDescent="0.3">
      <c r="B131" s="78">
        <v>92</v>
      </c>
      <c r="C131" s="62" t="s">
        <v>205</v>
      </c>
      <c r="D131" s="77">
        <v>45849</v>
      </c>
      <c r="E131" s="65" t="s">
        <v>211</v>
      </c>
      <c r="F131" s="16"/>
    </row>
    <row r="132" spans="2:6" x14ac:dyDescent="0.3">
      <c r="B132" s="78">
        <v>93</v>
      </c>
      <c r="C132" s="62" t="s">
        <v>131</v>
      </c>
      <c r="D132" s="77">
        <v>45850</v>
      </c>
      <c r="E132" s="65" t="s">
        <v>209</v>
      </c>
      <c r="F132" s="16"/>
    </row>
    <row r="133" spans="2:6" x14ac:dyDescent="0.3">
      <c r="B133" s="78">
        <v>94</v>
      </c>
      <c r="C133" s="62" t="s">
        <v>205</v>
      </c>
      <c r="D133" s="77">
        <v>45850</v>
      </c>
      <c r="E133" s="65" t="s">
        <v>212</v>
      </c>
      <c r="F133" s="70" t="s">
        <v>213</v>
      </c>
    </row>
    <row r="134" spans="2:6" x14ac:dyDescent="0.3">
      <c r="B134" s="78">
        <v>95</v>
      </c>
      <c r="C134" s="62" t="s">
        <v>205</v>
      </c>
      <c r="D134" s="77">
        <v>45852</v>
      </c>
      <c r="E134" s="65" t="s">
        <v>216</v>
      </c>
      <c r="F134" s="16"/>
    </row>
    <row r="135" spans="2:6" ht="49.5" x14ac:dyDescent="0.3">
      <c r="B135" s="78">
        <v>96</v>
      </c>
      <c r="C135" s="62" t="s">
        <v>205</v>
      </c>
      <c r="D135" s="77">
        <v>45852</v>
      </c>
      <c r="E135" s="65" t="s">
        <v>217</v>
      </c>
      <c r="F135" s="71" t="s">
        <v>219</v>
      </c>
    </row>
    <row r="136" spans="2:6" ht="49.5" x14ac:dyDescent="0.3">
      <c r="B136" s="78">
        <v>97</v>
      </c>
      <c r="C136" s="62" t="s">
        <v>205</v>
      </c>
      <c r="D136" s="77">
        <v>45852</v>
      </c>
      <c r="E136" s="65" t="s">
        <v>218</v>
      </c>
      <c r="F136" s="71" t="s">
        <v>219</v>
      </c>
    </row>
    <row r="137" spans="2:6" x14ac:dyDescent="0.3">
      <c r="B137" s="78">
        <v>98</v>
      </c>
      <c r="C137" s="62" t="s">
        <v>205</v>
      </c>
      <c r="D137" s="77">
        <v>45852</v>
      </c>
      <c r="E137" s="65" t="s">
        <v>220</v>
      </c>
      <c r="F137" s="16"/>
    </row>
    <row r="138" spans="2:6" x14ac:dyDescent="0.3">
      <c r="B138" s="94">
        <v>99</v>
      </c>
      <c r="C138" s="84" t="s">
        <v>205</v>
      </c>
      <c r="D138" s="85">
        <v>45852</v>
      </c>
      <c r="E138" s="72" t="s">
        <v>221</v>
      </c>
      <c r="F138" s="91" t="s">
        <v>222</v>
      </c>
    </row>
    <row r="139" spans="2:6" x14ac:dyDescent="0.3">
      <c r="B139" s="78">
        <v>100</v>
      </c>
      <c r="C139" s="62" t="s">
        <v>224</v>
      </c>
      <c r="D139" s="77">
        <v>45853</v>
      </c>
      <c r="E139" s="65" t="s">
        <v>223</v>
      </c>
      <c r="F139" s="16" t="s">
        <v>225</v>
      </c>
    </row>
    <row r="140" spans="2:6" x14ac:dyDescent="0.3">
      <c r="B140" s="78">
        <v>101</v>
      </c>
      <c r="C140" s="62" t="s">
        <v>224</v>
      </c>
      <c r="D140" s="77">
        <v>45853</v>
      </c>
      <c r="E140" s="65" t="s">
        <v>226</v>
      </c>
      <c r="F140" s="16" t="s">
        <v>227</v>
      </c>
    </row>
    <row r="141" spans="2:6" x14ac:dyDescent="0.3">
      <c r="B141" s="78">
        <v>102</v>
      </c>
      <c r="C141" s="62" t="s">
        <v>228</v>
      </c>
      <c r="D141" s="77">
        <v>45854</v>
      </c>
      <c r="E141" s="65" t="s">
        <v>229</v>
      </c>
      <c r="F141" s="16"/>
    </row>
    <row r="142" spans="2:6" ht="66" x14ac:dyDescent="0.3">
      <c r="B142" s="94">
        <v>103</v>
      </c>
      <c r="C142" s="84" t="s">
        <v>228</v>
      </c>
      <c r="D142" s="85">
        <v>45854</v>
      </c>
      <c r="E142" s="107" t="s">
        <v>231</v>
      </c>
      <c r="F142" s="89" t="s">
        <v>230</v>
      </c>
    </row>
    <row r="143" spans="2:6" ht="49.5" x14ac:dyDescent="0.3">
      <c r="B143" s="78">
        <v>104</v>
      </c>
      <c r="C143" s="84" t="s">
        <v>232</v>
      </c>
      <c r="D143" s="85">
        <v>45854</v>
      </c>
      <c r="E143" s="108" t="s">
        <v>233</v>
      </c>
      <c r="F143" s="90" t="s">
        <v>234</v>
      </c>
    </row>
    <row r="144" spans="2:6" x14ac:dyDescent="0.3">
      <c r="B144" s="78">
        <v>105</v>
      </c>
      <c r="C144" s="62" t="s">
        <v>237</v>
      </c>
      <c r="D144" s="77">
        <v>45855</v>
      </c>
      <c r="E144" s="30" t="s">
        <v>238</v>
      </c>
      <c r="F144" s="16" t="s">
        <v>239</v>
      </c>
    </row>
    <row r="145" spans="2:6" x14ac:dyDescent="0.3">
      <c r="B145" s="78">
        <v>106</v>
      </c>
      <c r="C145" s="62" t="s">
        <v>240</v>
      </c>
      <c r="D145" s="77">
        <v>45856</v>
      </c>
      <c r="E145" s="65" t="s">
        <v>241</v>
      </c>
      <c r="F145" s="16" t="s">
        <v>242</v>
      </c>
    </row>
    <row r="146" spans="2:6" x14ac:dyDescent="0.3">
      <c r="B146" s="87">
        <v>107</v>
      </c>
      <c r="C146" s="62" t="s">
        <v>240</v>
      </c>
      <c r="D146" s="86">
        <v>45857</v>
      </c>
      <c r="E146" s="65" t="s">
        <v>243</v>
      </c>
      <c r="F146" s="16" t="s">
        <v>244</v>
      </c>
    </row>
    <row r="147" spans="2:6" ht="33" x14ac:dyDescent="0.3">
      <c r="B147" s="93">
        <v>108</v>
      </c>
      <c r="C147" s="62" t="s">
        <v>131</v>
      </c>
      <c r="D147" s="86">
        <v>45857</v>
      </c>
      <c r="E147" s="65" t="s">
        <v>245</v>
      </c>
      <c r="F147" s="16"/>
    </row>
    <row r="148" spans="2:6" x14ac:dyDescent="0.3">
      <c r="B148" s="93">
        <v>109</v>
      </c>
      <c r="C148" s="62" t="s">
        <v>131</v>
      </c>
      <c r="D148" s="92">
        <v>45857</v>
      </c>
      <c r="E148" s="65" t="s">
        <v>246</v>
      </c>
      <c r="F148" s="16"/>
    </row>
    <row r="149" spans="2:6" x14ac:dyDescent="0.3">
      <c r="B149" s="93">
        <v>110</v>
      </c>
      <c r="C149" s="62" t="s">
        <v>131</v>
      </c>
      <c r="D149" s="92">
        <v>45857</v>
      </c>
      <c r="E149" s="65" t="s">
        <v>247</v>
      </c>
      <c r="F149" s="16"/>
    </row>
    <row r="150" spans="2:6" x14ac:dyDescent="0.3">
      <c r="B150" s="96">
        <v>111</v>
      </c>
      <c r="C150" s="62" t="s">
        <v>131</v>
      </c>
      <c r="D150" s="95">
        <v>45857</v>
      </c>
      <c r="E150" s="65" t="s">
        <v>257</v>
      </c>
      <c r="F150" s="16"/>
    </row>
    <row r="151" spans="2:6" x14ac:dyDescent="0.3">
      <c r="B151" s="96">
        <v>112</v>
      </c>
      <c r="C151" s="62" t="s">
        <v>131</v>
      </c>
      <c r="D151" s="92">
        <v>45857</v>
      </c>
      <c r="E151" s="65" t="s">
        <v>248</v>
      </c>
      <c r="F151" s="16"/>
    </row>
    <row r="152" spans="2:6" x14ac:dyDescent="0.3">
      <c r="B152" s="96">
        <v>113</v>
      </c>
      <c r="C152" s="62" t="s">
        <v>131</v>
      </c>
      <c r="D152" s="92">
        <v>45857</v>
      </c>
      <c r="E152" s="65" t="s">
        <v>249</v>
      </c>
      <c r="F152" s="16"/>
    </row>
    <row r="153" spans="2:6" x14ac:dyDescent="0.3">
      <c r="B153" s="96">
        <v>114</v>
      </c>
      <c r="C153" s="62" t="s">
        <v>131</v>
      </c>
      <c r="D153" s="92">
        <v>45857</v>
      </c>
      <c r="E153" s="65" t="s">
        <v>250</v>
      </c>
      <c r="F153" s="16"/>
    </row>
    <row r="154" spans="2:6" x14ac:dyDescent="0.3">
      <c r="B154" s="96">
        <v>115</v>
      </c>
      <c r="C154" s="62" t="s">
        <v>131</v>
      </c>
      <c r="D154" s="92">
        <v>45857</v>
      </c>
      <c r="E154" s="65" t="s">
        <v>251</v>
      </c>
      <c r="F154" s="16"/>
    </row>
    <row r="155" spans="2:6" x14ac:dyDescent="0.3">
      <c r="B155" s="96">
        <v>116</v>
      </c>
      <c r="C155" s="62" t="s">
        <v>131</v>
      </c>
      <c r="D155" s="92">
        <v>45857</v>
      </c>
      <c r="E155" s="30" t="s">
        <v>252</v>
      </c>
      <c r="F155" s="16"/>
    </row>
    <row r="156" spans="2:6" x14ac:dyDescent="0.3">
      <c r="B156" s="96">
        <v>117</v>
      </c>
      <c r="C156" s="62" t="s">
        <v>131</v>
      </c>
      <c r="D156" s="86">
        <v>45859</v>
      </c>
      <c r="E156" s="65" t="s">
        <v>253</v>
      </c>
      <c r="F156" s="16" t="s">
        <v>254</v>
      </c>
    </row>
    <row r="157" spans="2:6" x14ac:dyDescent="0.3">
      <c r="B157" s="96">
        <v>118</v>
      </c>
      <c r="C157" s="62" t="s">
        <v>131</v>
      </c>
      <c r="D157" s="86">
        <v>45860</v>
      </c>
      <c r="E157" s="65" t="s">
        <v>255</v>
      </c>
      <c r="F157" s="16"/>
    </row>
    <row r="158" spans="2:6" x14ac:dyDescent="0.3">
      <c r="B158" s="96">
        <v>119</v>
      </c>
      <c r="C158" s="62" t="s">
        <v>131</v>
      </c>
      <c r="D158" s="86">
        <v>45860</v>
      </c>
      <c r="E158" s="65" t="s">
        <v>256</v>
      </c>
      <c r="F158" s="16" t="s">
        <v>259</v>
      </c>
    </row>
    <row r="159" spans="2:6" x14ac:dyDescent="0.3">
      <c r="B159" s="96">
        <v>120</v>
      </c>
      <c r="C159" s="62" t="s">
        <v>131</v>
      </c>
      <c r="D159" s="86">
        <v>45860</v>
      </c>
      <c r="E159" s="65" t="s">
        <v>258</v>
      </c>
      <c r="F159" s="16" t="s">
        <v>268</v>
      </c>
    </row>
    <row r="160" spans="2:6" x14ac:dyDescent="0.3">
      <c r="B160" s="96">
        <v>121</v>
      </c>
      <c r="C160" s="62" t="s">
        <v>131</v>
      </c>
      <c r="D160" s="92">
        <v>45860</v>
      </c>
      <c r="E160" s="65" t="s">
        <v>260</v>
      </c>
      <c r="F160" s="16" t="s">
        <v>261</v>
      </c>
    </row>
    <row r="161" spans="2:6" ht="49.5" x14ac:dyDescent="0.3">
      <c r="B161" s="96">
        <v>122</v>
      </c>
      <c r="C161" s="62" t="s">
        <v>131</v>
      </c>
      <c r="D161" s="92">
        <v>45860</v>
      </c>
      <c r="E161" s="100" t="s">
        <v>262</v>
      </c>
      <c r="F161" s="99" t="s">
        <v>269</v>
      </c>
    </row>
    <row r="162" spans="2:6" ht="33" x14ac:dyDescent="0.3">
      <c r="B162" s="96">
        <v>123</v>
      </c>
      <c r="C162" s="62" t="s">
        <v>131</v>
      </c>
      <c r="D162" s="92">
        <v>45860</v>
      </c>
      <c r="E162" s="100" t="s">
        <v>263</v>
      </c>
      <c r="F162" s="99" t="s">
        <v>264</v>
      </c>
    </row>
    <row r="163" spans="2:6" x14ac:dyDescent="0.3">
      <c r="B163" s="97">
        <v>124</v>
      </c>
      <c r="C163" s="62" t="s">
        <v>265</v>
      </c>
      <c r="D163" s="92">
        <v>45861</v>
      </c>
      <c r="E163" s="65" t="s">
        <v>266</v>
      </c>
      <c r="F163" s="16" t="s">
        <v>268</v>
      </c>
    </row>
    <row r="164" spans="2:6" x14ac:dyDescent="0.3">
      <c r="B164" s="97">
        <v>125</v>
      </c>
      <c r="C164" s="62" t="s">
        <v>265</v>
      </c>
      <c r="D164" s="92">
        <v>45861</v>
      </c>
      <c r="E164" s="65" t="s">
        <v>267</v>
      </c>
      <c r="F164" s="16"/>
    </row>
    <row r="165" spans="2:6" ht="33" x14ac:dyDescent="0.3">
      <c r="B165" s="97">
        <v>126</v>
      </c>
      <c r="C165" s="62" t="s">
        <v>265</v>
      </c>
      <c r="D165" s="92">
        <v>45861</v>
      </c>
      <c r="E165" s="72" t="s">
        <v>277</v>
      </c>
      <c r="F165" s="16"/>
    </row>
    <row r="166" spans="2:6" x14ac:dyDescent="0.3">
      <c r="B166" s="97">
        <v>127</v>
      </c>
      <c r="C166" s="62" t="s">
        <v>275</v>
      </c>
      <c r="D166" s="92">
        <v>45863</v>
      </c>
      <c r="E166" s="65" t="s">
        <v>276</v>
      </c>
      <c r="F166" s="16"/>
    </row>
    <row r="167" spans="2:6" x14ac:dyDescent="0.3">
      <c r="B167" s="97">
        <v>128</v>
      </c>
      <c r="C167" s="62" t="s">
        <v>275</v>
      </c>
      <c r="D167" s="98">
        <v>45864</v>
      </c>
      <c r="E167" s="65" t="s">
        <v>278</v>
      </c>
      <c r="F167" s="16"/>
    </row>
    <row r="168" spans="2:6" x14ac:dyDescent="0.3">
      <c r="B168" s="97">
        <v>129</v>
      </c>
      <c r="C168" s="62" t="s">
        <v>131</v>
      </c>
      <c r="D168" s="77">
        <v>45864</v>
      </c>
      <c r="E168" s="65" t="s">
        <v>279</v>
      </c>
      <c r="F168" s="16"/>
    </row>
    <row r="169" spans="2:6" x14ac:dyDescent="0.3">
      <c r="B169" s="97">
        <v>130</v>
      </c>
      <c r="C169" s="62" t="s">
        <v>131</v>
      </c>
      <c r="D169" s="77">
        <v>45864</v>
      </c>
      <c r="E169" s="65" t="s">
        <v>280</v>
      </c>
      <c r="F169" s="16" t="s">
        <v>281</v>
      </c>
    </row>
    <row r="170" spans="2:6" ht="33" x14ac:dyDescent="0.3">
      <c r="B170" s="97">
        <v>131</v>
      </c>
      <c r="C170" s="62" t="s">
        <v>282</v>
      </c>
      <c r="D170" s="77">
        <v>45866</v>
      </c>
      <c r="E170" s="65" t="s">
        <v>283</v>
      </c>
      <c r="F170" s="29" t="s">
        <v>284</v>
      </c>
    </row>
    <row r="171" spans="2:6" x14ac:dyDescent="0.3">
      <c r="B171" s="97">
        <v>132</v>
      </c>
      <c r="C171" s="62" t="s">
        <v>285</v>
      </c>
      <c r="D171" s="77">
        <v>45874</v>
      </c>
      <c r="E171" s="65" t="s">
        <v>286</v>
      </c>
      <c r="F171" s="16"/>
    </row>
    <row r="172" spans="2:6" ht="33" x14ac:dyDescent="0.3">
      <c r="B172" s="67">
        <v>133</v>
      </c>
      <c r="C172" s="62" t="s">
        <v>287</v>
      </c>
      <c r="D172" s="66">
        <v>45896</v>
      </c>
      <c r="E172" s="107" t="s">
        <v>288</v>
      </c>
      <c r="F172" s="43" t="s">
        <v>289</v>
      </c>
    </row>
    <row r="173" spans="2:6" x14ac:dyDescent="0.3">
      <c r="B173" s="104">
        <v>134</v>
      </c>
      <c r="C173" s="62" t="s">
        <v>290</v>
      </c>
      <c r="D173" s="103">
        <v>45903</v>
      </c>
      <c r="E173" s="107" t="s">
        <v>293</v>
      </c>
      <c r="F173" s="43" t="s">
        <v>294</v>
      </c>
    </row>
    <row r="174" spans="2:6" ht="66" x14ac:dyDescent="0.3">
      <c r="B174" s="102">
        <v>135</v>
      </c>
      <c r="C174" s="62" t="s">
        <v>290</v>
      </c>
      <c r="D174" s="101">
        <v>45905</v>
      </c>
      <c r="E174" s="106" t="s">
        <v>291</v>
      </c>
      <c r="F174" s="43" t="s">
        <v>292</v>
      </c>
    </row>
    <row r="175" spans="2:6" x14ac:dyDescent="0.3">
      <c r="B175" s="102">
        <v>136</v>
      </c>
      <c r="C175" s="62" t="s">
        <v>295</v>
      </c>
      <c r="D175" s="101">
        <v>45909</v>
      </c>
      <c r="E175" s="111" t="s">
        <v>296</v>
      </c>
      <c r="F175" s="43"/>
    </row>
    <row r="176" spans="2:6" ht="198" x14ac:dyDescent="0.3">
      <c r="B176" s="110">
        <v>137</v>
      </c>
      <c r="C176" s="62" t="s">
        <v>299</v>
      </c>
      <c r="D176" s="109">
        <v>45915</v>
      </c>
      <c r="E176" s="112" t="s">
        <v>300</v>
      </c>
      <c r="F176" s="43" t="s">
        <v>298</v>
      </c>
    </row>
    <row r="177" spans="2:6" ht="49.5" x14ac:dyDescent="0.3">
      <c r="B177" s="110">
        <v>138</v>
      </c>
      <c r="C177" s="62" t="s">
        <v>131</v>
      </c>
      <c r="D177" s="101">
        <v>45979</v>
      </c>
      <c r="E177" s="115" t="s">
        <v>297</v>
      </c>
      <c r="F177" s="43" t="s">
        <v>304</v>
      </c>
    </row>
    <row r="178" spans="2:6" x14ac:dyDescent="0.3">
      <c r="B178" s="102" t="s">
        <v>301</v>
      </c>
      <c r="C178" s="62" t="s">
        <v>299</v>
      </c>
      <c r="D178" s="101">
        <v>45979</v>
      </c>
      <c r="E178" s="114" t="s">
        <v>302</v>
      </c>
      <c r="F178" s="43" t="s">
        <v>303</v>
      </c>
    </row>
    <row r="179" spans="2:6" x14ac:dyDescent="0.3">
      <c r="B179" s="102">
        <v>139</v>
      </c>
      <c r="C179" s="62" t="s">
        <v>131</v>
      </c>
      <c r="D179" s="101">
        <v>45979</v>
      </c>
      <c r="E179" s="105" t="s">
        <v>306</v>
      </c>
      <c r="F179" s="43"/>
    </row>
    <row r="180" spans="2:6" x14ac:dyDescent="0.3">
      <c r="B180" s="102">
        <v>140</v>
      </c>
      <c r="C180" s="62" t="s">
        <v>131</v>
      </c>
      <c r="D180" s="101">
        <v>45980</v>
      </c>
      <c r="E180" s="114" t="s">
        <v>305</v>
      </c>
      <c r="F180" s="43"/>
    </row>
    <row r="181" spans="2:6" x14ac:dyDescent="0.3">
      <c r="B181" s="113">
        <v>141</v>
      </c>
      <c r="C181" s="62" t="s">
        <v>131</v>
      </c>
      <c r="D181" s="101">
        <v>45981</v>
      </c>
      <c r="E181" s="114" t="s">
        <v>307</v>
      </c>
      <c r="F181" s="43"/>
    </row>
    <row r="182" spans="2:6" x14ac:dyDescent="0.3">
      <c r="B182" s="113">
        <v>142</v>
      </c>
      <c r="C182" s="62" t="s">
        <v>131</v>
      </c>
      <c r="D182" s="101">
        <v>45987</v>
      </c>
      <c r="E182" s="114" t="s">
        <v>308</v>
      </c>
      <c r="F182" s="43"/>
    </row>
    <row r="183" spans="2:6" x14ac:dyDescent="0.3">
      <c r="B183" s="113">
        <v>143</v>
      </c>
      <c r="C183" s="62" t="s">
        <v>131</v>
      </c>
      <c r="D183" s="101">
        <v>45987</v>
      </c>
      <c r="E183" s="114" t="s">
        <v>309</v>
      </c>
      <c r="F183" s="43"/>
    </row>
    <row r="184" spans="2:6" x14ac:dyDescent="0.3">
      <c r="B184" s="67">
        <v>144</v>
      </c>
      <c r="C184" s="62" t="s">
        <v>311</v>
      </c>
      <c r="D184" s="66">
        <v>45987</v>
      </c>
      <c r="E184" s="26" t="s">
        <v>310</v>
      </c>
      <c r="F184" s="16"/>
    </row>
    <row r="185" spans="2:6" x14ac:dyDescent="0.3">
      <c r="B185" s="117">
        <v>145</v>
      </c>
      <c r="C185" s="62" t="s">
        <v>312</v>
      </c>
      <c r="D185" s="116">
        <v>46057</v>
      </c>
      <c r="E185" s="59" t="s">
        <v>313</v>
      </c>
      <c r="F185" s="16"/>
    </row>
    <row r="186" spans="2:6" x14ac:dyDescent="0.3">
      <c r="B186" s="117">
        <v>146</v>
      </c>
      <c r="C186" s="62" t="s">
        <v>131</v>
      </c>
      <c r="D186" s="116">
        <v>46100</v>
      </c>
      <c r="E186" s="26" t="s">
        <v>314</v>
      </c>
      <c r="F186" s="16"/>
    </row>
    <row r="187" spans="2:6" x14ac:dyDescent="0.3">
      <c r="B187" s="32"/>
      <c r="C187" s="62"/>
      <c r="D187" s="31"/>
      <c r="E187" s="22"/>
      <c r="F187" s="16"/>
    </row>
    <row r="188" spans="2:6" x14ac:dyDescent="0.3">
      <c r="B188" s="32"/>
      <c r="C188" s="62"/>
      <c r="D188" s="31"/>
      <c r="E188" s="22"/>
      <c r="F188" s="16"/>
    </row>
    <row r="189" spans="2:6" ht="17.25" thickBot="1" x14ac:dyDescent="0.35">
      <c r="B189" s="41"/>
      <c r="C189" s="64"/>
      <c r="D189" s="11"/>
      <c r="E189" s="23"/>
      <c r="F189" s="17"/>
    </row>
  </sheetData>
  <mergeCells count="5">
    <mergeCell ref="D6:D7"/>
    <mergeCell ref="B6:B7"/>
    <mergeCell ref="D3:F3"/>
    <mergeCell ref="D38:F38"/>
    <mergeCell ref="D113:F113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BE9E2-937B-45D6-A18C-D68596EAEA6A}">
  <dimension ref="A1:H10"/>
  <sheetViews>
    <sheetView workbookViewId="0">
      <selection activeCell="F21" sqref="F21"/>
    </sheetView>
  </sheetViews>
  <sheetFormatPr defaultRowHeight="16.5" x14ac:dyDescent="0.3"/>
  <cols>
    <col min="1" max="1" width="11" bestFit="1" customWidth="1"/>
    <col min="5" max="5" width="11" bestFit="1" customWidth="1"/>
  </cols>
  <sheetData>
    <row r="1" spans="1:8" x14ac:dyDescent="0.3">
      <c r="A1" t="s">
        <v>270</v>
      </c>
      <c r="B1">
        <v>100</v>
      </c>
      <c r="C1">
        <v>100</v>
      </c>
      <c r="E1" t="s">
        <v>270</v>
      </c>
      <c r="F1">
        <v>100</v>
      </c>
      <c r="G1">
        <v>100</v>
      </c>
    </row>
    <row r="2" spans="1:8" x14ac:dyDescent="0.3">
      <c r="A2" t="s">
        <v>271</v>
      </c>
      <c r="B2">
        <v>400</v>
      </c>
      <c r="C2">
        <f>800</f>
        <v>800</v>
      </c>
      <c r="E2" t="s">
        <v>271</v>
      </c>
      <c r="F2">
        <v>576</v>
      </c>
      <c r="G2">
        <f>800</f>
        <v>800</v>
      </c>
    </row>
    <row r="3" spans="1:8" x14ac:dyDescent="0.3">
      <c r="A3" t="s">
        <v>272</v>
      </c>
      <c r="B3">
        <v>400</v>
      </c>
      <c r="C3">
        <f>800</f>
        <v>800</v>
      </c>
      <c r="E3" t="s">
        <v>272</v>
      </c>
      <c r="F3">
        <v>576</v>
      </c>
      <c r="G3">
        <f>800</f>
        <v>800</v>
      </c>
    </row>
    <row r="5" spans="1:8" x14ac:dyDescent="0.3">
      <c r="A5" t="s">
        <v>270</v>
      </c>
      <c r="B5">
        <v>100</v>
      </c>
      <c r="C5">
        <v>100</v>
      </c>
      <c r="E5" t="s">
        <v>270</v>
      </c>
      <c r="F5">
        <v>100</v>
      </c>
      <c r="G5">
        <v>100</v>
      </c>
    </row>
    <row r="6" spans="1:8" x14ac:dyDescent="0.3">
      <c r="A6" t="s">
        <v>273</v>
      </c>
      <c r="B6">
        <v>400</v>
      </c>
      <c r="C6">
        <f>800</f>
        <v>800</v>
      </c>
      <c r="E6" t="s">
        <v>273</v>
      </c>
      <c r="F6">
        <v>576</v>
      </c>
      <c r="G6">
        <f>F6*2</f>
        <v>1152</v>
      </c>
      <c r="H6">
        <v>800</v>
      </c>
    </row>
    <row r="7" spans="1:8" x14ac:dyDescent="0.3">
      <c r="A7" t="s">
        <v>274</v>
      </c>
      <c r="B7">
        <v>400</v>
      </c>
      <c r="C7">
        <f>800</f>
        <v>800</v>
      </c>
      <c r="E7" t="s">
        <v>274</v>
      </c>
      <c r="F7">
        <v>576</v>
      </c>
      <c r="G7">
        <f>F7*2</f>
        <v>1152</v>
      </c>
      <c r="H7">
        <v>800</v>
      </c>
    </row>
    <row r="8" spans="1:8" x14ac:dyDescent="0.3">
      <c r="G8">
        <f>1152+1152</f>
        <v>2304</v>
      </c>
      <c r="H8">
        <f>2304-1600</f>
        <v>704</v>
      </c>
    </row>
    <row r="10" spans="1:8" x14ac:dyDescent="0.3">
      <c r="F10">
        <f>176*2</f>
        <v>352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IP Setting</vt:lpstr>
      <vt:lpstr>작업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2026-03-19T04:38:16Z</dcterms:modified>
</cp:coreProperties>
</file>